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vba\"/>
    </mc:Choice>
  </mc:AlternateContent>
  <xr:revisionPtr revIDLastSave="0" documentId="13_ncr:1_{B838E9D3-2D13-4CB7-B800-90450D6312BD}" xr6:coauthVersionLast="47" xr6:coauthVersionMax="47" xr10:uidLastSave="{00000000-0000-0000-0000-000000000000}"/>
  <bookViews>
    <workbookView xWindow="-103" yWindow="-103" windowWidth="22586" windowHeight="15840" xr2:uid="{179866D5-2E69-4839-8A6E-8031CDBFC8D4}"/>
  </bookViews>
  <sheets>
    <sheet name="Sample1" sheetId="2" r:id="rId1"/>
    <sheet name="Sample2" sheetId="10" r:id="rId2"/>
    <sheet name="├設定" sheetId="6" r:id="rId3"/>
    <sheet name="Config" sheetId="3" r:id="rId4"/>
    <sheet name="SQL" sheetId="5" r:id="rId5"/>
    <sheet name="├その他" sheetId="8" r:id="rId6"/>
    <sheet name="ver" sheetId="9" r:id="rId7"/>
    <sheet name="コーディング規約" sheetId="1" r:id="rId8"/>
    <sheet name="ToDo" sheetId="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0" l="1"/>
  <c r="I9" i="10"/>
  <c r="I10" i="10"/>
  <c r="I11" i="10"/>
  <c r="J8" i="10"/>
  <c r="J9" i="10"/>
  <c r="J10" i="10"/>
  <c r="J11" i="10"/>
  <c r="M8" i="2"/>
  <c r="M9" i="2"/>
  <c r="M10" i="2"/>
  <c r="M11" i="2"/>
  <c r="M12" i="2"/>
  <c r="M13" i="2"/>
  <c r="M14" i="2"/>
  <c r="M15" i="2"/>
  <c r="M16" i="2"/>
  <c r="M17" i="2"/>
  <c r="M18" i="2"/>
  <c r="M19" i="2"/>
  <c r="M20" i="2"/>
</calcChain>
</file>

<file path=xl/sharedStrings.xml><?xml version="1.0" encoding="utf-8"?>
<sst xmlns="http://schemas.openxmlformats.org/spreadsheetml/2006/main" count="167" uniqueCount="119">
  <si>
    <t>コーディング規約</t>
    <rPh sb="6" eb="8">
      <t>キヤク</t>
    </rPh>
    <phoneticPr fontId="1"/>
  </si>
  <si>
    <t>A</t>
  </si>
  <si>
    <t>太陽</t>
  </si>
  <si>
    <t>B</t>
  </si>
  <si>
    <t>月</t>
  </si>
  <si>
    <t>C</t>
  </si>
  <si>
    <t>地球</t>
  </si>
  <si>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</si>
  <si>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</si>
  <si>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</si>
  <si>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</si>
  <si>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</si>
  <si>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</si>
  <si>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</si>
  <si>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</si>
  <si>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</si>
  <si>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TESTDB</t>
    <phoneticPr fontId="1"/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</si>
  <si>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</si>
  <si>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</si>
  <si>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</si>
  <si>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</si>
  <si>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select * from sample_table</t>
    <phoneticPr fontId="1"/>
  </si>
  <si>
    <t>select * from sample_master</t>
    <phoneticPr fontId="1"/>
  </si>
  <si>
    <t>SAMPLE_CODE</t>
    <phoneticPr fontId="1"/>
  </si>
  <si>
    <t>SAMPLE_CODE_NAME</t>
    <phoneticPr fontId="1"/>
  </si>
  <si>
    <t>大項目</t>
    <rPh sb="0" eb="3">
      <t>ダイコウモク</t>
    </rPh>
    <phoneticPr fontId="1"/>
  </si>
  <si>
    <t>項目</t>
    <rPh sb="0" eb="2">
      <t>コウモク</t>
    </rPh>
    <phoneticPr fontId="1"/>
  </si>
  <si>
    <t>規則</t>
    <rPh sb="0" eb="2">
      <t>キソク</t>
    </rPh>
    <phoneticPr fontId="1"/>
  </si>
  <si>
    <t>例</t>
    <rPh sb="0" eb="1">
      <t>レイ</t>
    </rPh>
    <phoneticPr fontId="1"/>
  </si>
  <si>
    <t>備考</t>
    <rPh sb="0" eb="2">
      <t>ビコウ</t>
    </rPh>
    <phoneticPr fontId="1"/>
  </si>
  <si>
    <t>作成日:2022/12/17</t>
    <rPh sb="0" eb="3">
      <t>サクセイニチ</t>
    </rPh>
    <phoneticPr fontId="1"/>
  </si>
  <si>
    <t>Sample1</t>
    <phoneticPr fontId="1"/>
  </si>
  <si>
    <t>sample1_tbl1</t>
  </si>
  <si>
    <t>sample1_tbl2</t>
    <phoneticPr fontId="1"/>
  </si>
  <si>
    <t>コード&amp;名称</t>
    <rPh sb="4" eb="6">
      <t>メイショウ</t>
    </rPh>
    <phoneticPr fontId="1"/>
  </si>
  <si>
    <t>SAMPLE_ID</t>
    <phoneticPr fontId="1"/>
  </si>
  <si>
    <t>SAMPLE_TEXT</t>
    <phoneticPr fontId="1"/>
  </si>
  <si>
    <t>SAMPLE_COMBOBOX_TEXT</t>
    <phoneticPr fontId="1"/>
  </si>
  <si>
    <t>SAMPLE_FLAG</t>
    <phoneticPr fontId="1"/>
  </si>
  <si>
    <t>aaa</t>
  </si>
  <si>
    <t>SAMPLE_VALUE</t>
    <phoneticPr fontId="1"/>
  </si>
  <si>
    <t>SAMPLE_DATE</t>
    <phoneticPr fontId="1"/>
  </si>
  <si>
    <t>Oracle操作クラスにINSERT、UPDATE、DELETE処理を追加</t>
    <rPh sb="6" eb="8">
      <t>ソウサ</t>
    </rPh>
    <rPh sb="32" eb="34">
      <t>ショリ</t>
    </rPh>
    <rPh sb="35" eb="37">
      <t>ツイカ</t>
    </rPh>
    <phoneticPr fontId="1"/>
  </si>
  <si>
    <t>コードの表記方法</t>
    <rPh sb="4" eb="8">
      <t>ヒョウキホウホウ</t>
    </rPh>
    <phoneticPr fontId="1"/>
  </si>
  <si>
    <t>定数</t>
    <rPh sb="0" eb="2">
      <t>テイスウ</t>
    </rPh>
    <phoneticPr fontId="1"/>
  </si>
  <si>
    <t>大文字のスネークケース</t>
    <rPh sb="0" eb="3">
      <t>オオモジ</t>
    </rPh>
    <phoneticPr fontId="1"/>
  </si>
  <si>
    <t>CONFIG_SHEET</t>
    <phoneticPr fontId="1"/>
  </si>
  <si>
    <t>モジュール、メソッド内の変数</t>
    <rPh sb="10" eb="11">
      <t>ナイ</t>
    </rPh>
    <rPh sb="12" eb="14">
      <t>ヘンスウ</t>
    </rPh>
    <phoneticPr fontId="1"/>
  </si>
  <si>
    <t>キャメルケース</t>
    <phoneticPr fontId="1"/>
  </si>
  <si>
    <t>tableName</t>
    <phoneticPr fontId="1"/>
  </si>
  <si>
    <t>メソッド</t>
    <phoneticPr fontId="1"/>
  </si>
  <si>
    <t>パスカルケース</t>
    <phoneticPr fontId="1"/>
  </si>
  <si>
    <t>InitConfig</t>
    <phoneticPr fontId="1"/>
  </si>
  <si>
    <t>クラスのフィールド</t>
    <phoneticPr fontId="1"/>
  </si>
  <si>
    <t>キャメルケース + _(アンダーバー)</t>
    <phoneticPr fontId="1"/>
  </si>
  <si>
    <t>tableName_</t>
    <phoneticPr fontId="1"/>
  </si>
  <si>
    <t>モジュール名称</t>
    <rPh sb="5" eb="7">
      <t>メイショウ</t>
    </rPh>
    <phoneticPr fontId="1"/>
  </si>
  <si>
    <t>メイン処理</t>
    <rPh sb="3" eb="5">
      <t>ショリ</t>
    </rPh>
    <phoneticPr fontId="1"/>
  </si>
  <si>
    <t>Main+○○</t>
    <phoneticPr fontId="1"/>
  </si>
  <si>
    <t>Main、MainUpdateData</t>
    <phoneticPr fontId="1"/>
  </si>
  <si>
    <t>ヘルパーモジュール</t>
    <phoneticPr fontId="1"/>
  </si>
  <si>
    <t>Helper+○○</t>
    <phoneticPr fontId="1"/>
  </si>
  <si>
    <t>HelperApplication</t>
    <phoneticPr fontId="1"/>
  </si>
  <si>
    <t>汎用モジュール</t>
    <rPh sb="0" eb="2">
      <t>ハンヨウ</t>
    </rPh>
    <phoneticPr fontId="1"/>
  </si>
  <si>
    <t>Module+○○</t>
    <phoneticPr fontId="1"/>
  </si>
  <si>
    <t>ModuleSqlOracle</t>
    <phoneticPr fontId="1"/>
  </si>
  <si>
    <t>DB接続クラス</t>
    <rPh sb="2" eb="4">
      <t>セツゾク</t>
    </rPh>
    <phoneticPr fontId="1"/>
  </si>
  <si>
    <t>Dao+○○</t>
    <phoneticPr fontId="1"/>
  </si>
  <si>
    <t>DaoOracleOra</t>
    <phoneticPr fontId="1"/>
  </si>
  <si>
    <t>既存クラス拡張クラス</t>
    <rPh sb="0" eb="2">
      <t>キゾン</t>
    </rPh>
    <rPh sb="5" eb="7">
      <t>カクチョウ</t>
    </rPh>
    <phoneticPr fontId="1"/>
  </si>
  <si>
    <t>Ex+○○</t>
    <phoneticPr fontId="1"/>
  </si>
  <si>
    <t>ExListObject</t>
    <phoneticPr fontId="1"/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</si>
  <si>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</si>
  <si>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</si>
  <si>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</si>
  <si>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aaaa</t>
  </si>
  <si>
    <t>bbb</t>
  </si>
  <si>
    <t>aaaaa</t>
  </si>
  <si>
    <t>Sample2</t>
    <phoneticPr fontId="1"/>
  </si>
  <si>
    <t>sample2_tbl1</t>
    <phoneticPr fontId="1"/>
  </si>
  <si>
    <t>OracleDBのデータ変更</t>
    <rPh sb="12" eb="14">
      <t>ヘンコウ</t>
    </rPh>
    <phoneticPr fontId="1"/>
  </si>
  <si>
    <t>済</t>
    <rPh sb="0" eb="1">
      <t>スミ</t>
    </rPh>
    <phoneticPr fontId="1"/>
  </si>
  <si>
    <t>テーブルの全レコードをSaveするメソッドを追加</t>
    <rPh sb="5" eb="6">
      <t>ゼン</t>
    </rPh>
    <rPh sb="22" eb="24">
      <t>ツイカ</t>
    </rPh>
    <phoneticPr fontId="1"/>
  </si>
  <si>
    <t>2.0.2</t>
    <phoneticPr fontId="1"/>
  </si>
  <si>
    <t>OracleDao処理にINSERT、UPDATE、DELETE処理を追加</t>
    <rPh sb="9" eb="11">
      <t>ショリ</t>
    </rPh>
    <rPh sb="32" eb="34">
      <t>ショリ</t>
    </rPh>
    <rPh sb="35" eb="37">
      <t>ツイカ</t>
    </rPh>
    <phoneticPr fontId="1"/>
  </si>
  <si>
    <t>データ削除</t>
    <rPh sb="3" eb="5">
      <t>サクジョ</t>
    </rPh>
    <phoneticPr fontId="1"/>
  </si>
  <si>
    <t>データ保存</t>
    <rPh sb="3" eb="5">
      <t>ホゾン</t>
    </rPh>
    <phoneticPr fontId="1"/>
  </si>
  <si>
    <t>あいう</t>
  </si>
  <si>
    <t>X</t>
  </si>
  <si>
    <t>かきく</t>
  </si>
  <si>
    <t>Y</t>
  </si>
  <si>
    <t>ccc</t>
  </si>
  <si>
    <t>ddd</t>
  </si>
  <si>
    <t>さしす</t>
  </si>
  <si>
    <t>たちつ</t>
  </si>
  <si>
    <t>Z</t>
  </si>
  <si>
    <t>ステータス</t>
    <phoneticPr fontId="1"/>
  </si>
  <si>
    <t>タスク</t>
    <phoneticPr fontId="1"/>
  </si>
  <si>
    <t>SELECT文でデータ取得した際に、書式を変更しないように修正</t>
    <rPh sb="6" eb="7">
      <t>ブン</t>
    </rPh>
    <rPh sb="11" eb="13">
      <t>シュトク</t>
    </rPh>
    <rPh sb="15" eb="16">
      <t>サイ</t>
    </rPh>
    <rPh sb="18" eb="20">
      <t>ショシキ</t>
    </rPh>
    <rPh sb="21" eb="23">
      <t>ヘンコウ</t>
    </rPh>
    <rPh sb="29" eb="31">
      <t>シュウセイ</t>
    </rPh>
    <phoneticPr fontId="1"/>
  </si>
  <si>
    <t>指定したSELECT文のみ実行する処理を追加</t>
    <rPh sb="0" eb="2">
      <t>シテイ</t>
    </rPh>
    <rPh sb="10" eb="11">
      <t>ブン</t>
    </rPh>
    <rPh sb="13" eb="15">
      <t>ジッコウ</t>
    </rPh>
    <rPh sb="17" eb="19">
      <t>ショリ</t>
    </rPh>
    <rPh sb="20" eb="22">
      <t>ツイカ</t>
    </rPh>
    <phoneticPr fontId="1"/>
  </si>
  <si>
    <t>Name</t>
    <phoneticPr fontId="1"/>
  </si>
  <si>
    <t>サンプル1-1</t>
    <phoneticPr fontId="1"/>
  </si>
  <si>
    <t>サンプル1-2</t>
    <phoneticPr fontId="1"/>
  </si>
  <si>
    <t>サンプル2-1</t>
    <phoneticPr fontId="1"/>
  </si>
  <si>
    <t>AA</t>
  </si>
  <si>
    <t>sample2_tbl1</t>
  </si>
  <si>
    <t>テーブルを操作するクラスを作成（並び替えなど基本機能を実装）</t>
    <rPh sb="5" eb="7">
      <t>ソウサ</t>
    </rPh>
    <rPh sb="13" eb="15">
      <t>サクセイ</t>
    </rPh>
    <rPh sb="16" eb="17">
      <t>ナラ</t>
    </rPh>
    <rPh sb="18" eb="19">
      <t>カ</t>
    </rPh>
    <rPh sb="22" eb="24">
      <t>キホン</t>
    </rPh>
    <rPh sb="24" eb="26">
      <t>キノウ</t>
    </rPh>
    <rPh sb="27" eb="29">
      <t>ジッソウ</t>
    </rPh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</si>
  <si>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</si>
  <si>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2.1.0</t>
    <phoneticPr fontId="1"/>
  </si>
  <si>
    <t>テーブル操作クラスを追加</t>
    <rPh sb="4" eb="6">
      <t>ソウサ</t>
    </rPh>
    <rPh sb="10" eb="12">
      <t>ツイカ</t>
    </rPh>
    <phoneticPr fontId="1"/>
  </si>
  <si>
    <t>001</t>
  </si>
  <si>
    <t>002</t>
  </si>
  <si>
    <t>003</t>
  </si>
  <si>
    <t>004</t>
  </si>
  <si>
    <t>005</t>
  </si>
  <si>
    <t>006</t>
  </si>
  <si>
    <t>007</t>
  </si>
  <si>
    <t>2.1.1</t>
    <phoneticPr fontId="1"/>
  </si>
  <si>
    <t>DaoOracleOra.IDao_PasteRecordsetToTable
DBから取得したデータをテーブルにペーストする処理方法を変更。書式が自動で日付に変わるバグ対策</t>
    <rPh sb="44" eb="46">
      <t>シュトク</t>
    </rPh>
    <rPh sb="63" eb="65">
      <t>ショリ</t>
    </rPh>
    <rPh sb="65" eb="67">
      <t>ホウホウ</t>
    </rPh>
    <rPh sb="68" eb="70">
      <t>ヘンコウ</t>
    </rPh>
    <rPh sb="71" eb="73">
      <t>ショシキ</t>
    </rPh>
    <rPh sb="74" eb="76">
      <t>ジドウ</t>
    </rPh>
    <rPh sb="77" eb="79">
      <t>ヒヅケ</t>
    </rPh>
    <rPh sb="80" eb="81">
      <t>カ</t>
    </rPh>
    <rPh sb="85" eb="87">
      <t>タイサク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</si>
</sst>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1" formatCode="&quot;フ&quot;&quot;ラ&quot;&quot;グ&quot;#,##0;[Red]\-#,##0"/>
  </numFmts>
  <fonts count="8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u/>
      <sz val="14"/>
      <color theme="1"/>
      <name val="Meiryo UI"/>
      <family val="2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0" borderId="0" xfId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vertical="top" wrapText="1"/>
    </xf>
    <xf numFmtId="0" fontId="0" fillId="0" borderId="0" xfId="0" applyNumberForma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horizontal="center" vertical="center"/>
    </xf>
    <xf numFmtId="14" fontId="0" fillId="0" borderId="0" xfId="2" applyNumberFormat="1" applyFont="1">
      <alignment vertical="center"/>
    </xf>
    <xf numFmtId="38" fontId="0" fillId="0" borderId="0" xfId="2" applyFont="1" applyAlignmen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0" xfId="2" applyNumberFormat="1" applyFont="1">
      <alignment vertical="center"/>
    </xf>
  </cellXfs>
  <cellStyles count="3">
    <cellStyle name="ハイパーリンク" xfId="1" builtinId="8"/>
    <cellStyle name="桁区切り" xfId="2" builtinId="6"/>
    <cellStyle name="標準" xfId="0" builtinId="0"/>
  </cellStyles>
  <dxfs count="25">
    <dxf>
      <numFmt numFmtId="181" formatCode="&quot;フ&quot;&quot;ラ&quot;&quot;グ&quot;#,##0;[Red]\-#,##0"/>
    </dxf>
    <dxf>
      <alignment horizontal="general" vertical="center" textRotation="0" wrapText="0" indent="0" justifyLastLine="0" shrinkToFit="0" readingOrder="0"/>
    </dxf>
    <dxf>
      <numFmt numFmtId="20" formatCode="d\-mmm\-yy"/>
    </dxf>
    <dxf>
      <numFmt numFmtId="0" formatCode="General"/>
    </dxf>
    <dxf>
      <numFmt numFmtId="19" formatCode="yyyy/m/d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</xdr:row>
          <xdr:rowOff>141514</xdr:rowOff>
        </xdr:from>
        <xdr:to>
          <xdr:col>2</xdr:col>
          <xdr:colOff>457200</xdr:colOff>
          <xdr:row>3</xdr:row>
          <xdr:rowOff>141514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751114</xdr:colOff>
          <xdr:row>1</xdr:row>
          <xdr:rowOff>141514</xdr:rowOff>
        </xdr:from>
        <xdr:to>
          <xdr:col>3</xdr:col>
          <xdr:colOff>740229</xdr:colOff>
          <xdr:row>3</xdr:row>
          <xdr:rowOff>141514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1006929</xdr:colOff>
          <xdr:row>1</xdr:row>
          <xdr:rowOff>141514</xdr:rowOff>
        </xdr:from>
        <xdr:to>
          <xdr:col>3</xdr:col>
          <xdr:colOff>2378529</xdr:colOff>
          <xdr:row>3</xdr:row>
          <xdr:rowOff>141514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364671</xdr:colOff>
          <xdr:row>1</xdr:row>
          <xdr:rowOff>141514</xdr:rowOff>
        </xdr:from>
        <xdr:to>
          <xdr:col>5</xdr:col>
          <xdr:colOff>250371</xdr:colOff>
          <xdr:row>3</xdr:row>
          <xdr:rowOff>141514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576943</xdr:colOff>
          <xdr:row>1</xdr:row>
          <xdr:rowOff>141514</xdr:rowOff>
        </xdr:from>
        <xdr:to>
          <xdr:col>6</xdr:col>
          <xdr:colOff>560614</xdr:colOff>
          <xdr:row>3</xdr:row>
          <xdr:rowOff>141514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206829</xdr:colOff>
          <xdr:row>2</xdr:row>
          <xdr:rowOff>27214</xdr:rowOff>
        </xdr:from>
        <xdr:to>
          <xdr:col>2</xdr:col>
          <xdr:colOff>527957</xdr:colOff>
          <xdr:row>4</xdr:row>
          <xdr:rowOff>59871</xdr:rowOff>
        </xdr:to>
        <xdr:sp macro="" textlink="">
          <xdr:nvSpPr>
            <xdr:cNvPr id="11265" name="SaveAll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364671</xdr:colOff>
          <xdr:row>1</xdr:row>
          <xdr:rowOff>10886</xdr:rowOff>
        </xdr:from>
        <xdr:to>
          <xdr:col>5</xdr:col>
          <xdr:colOff>0</xdr:colOff>
          <xdr:row>3</xdr:row>
          <xdr:rowOff>32657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130629</xdr:colOff>
          <xdr:row>0</xdr:row>
          <xdr:rowOff>92529</xdr:rowOff>
        </xdr:from>
        <xdr:to>
          <xdr:col>5</xdr:col>
          <xdr:colOff>2002971</xdr:colOff>
          <xdr:row>2</xdr:row>
          <xdr:rowOff>119743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1_tbl1" displayName="sample1_tbl1" ref="B7:H11" totalsRowShown="0">
  <autoFilter ref="B7:H11" xr:uid="{7400C524-F6B9-4915-B627-DA53DC192710}"/>
  <tableColumns count="7">
    <tableColumn id="1" xr3:uid="{9E79AE5A-A925-4311-9547-4B326B93C786}" name="SAMPLE_ID"/>
    <tableColumn id="2" xr3:uid="{EC2C3B7C-4417-4C0F-8A9F-BC0416923C34}" name="SAMPLE_TEXT"/>
    <tableColumn id="3" xr3:uid="{51E394DC-5D94-4649-96DA-E774C9B136B0}" name="SAMPLE_COMBOBOX_TEXT" dataDxfId="3"/>
    <tableColumn id="4" xr3:uid="{4F3EAB05-CF38-40F4-97D2-FF82AFE6B4B6}" name="SAMPLE_VALUE" dataDxfId="1" dataCellStyle="桁区切り"/>
    <tableColumn id="5" xr3:uid="{790D8F86-BEE1-48AC-A2D1-3C7DC641F078}" name="SAMPLE_DATE" dataDxfId="2" dataCellStyle="桁区切り"/>
    <tableColumn id="6" xr3:uid="{1867B1C3-62A8-4E58-AABD-1E5499A17DAD}" name="SAMPLE_FLAG" dataDxfId="0" dataCellStyle="桁区切り"/>
    <tableColumn id="7" xr3:uid="{14FD9F1C-EA29-4FE1-8CEA-3D5A89587FB5}" name="SAMPLE_CODE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6496E-6D6F-4E0E-BD4B-A133ADCC2725}" name="sample1_tbl2" displayName="sample1_tbl2" ref="K7:M20" totalsRowShown="0">
  <autoFilter ref="K7:M20" xr:uid="{90A6496E-6D6F-4E0E-BD4B-A133ADCC2725}"/>
  <tableColumns count="3">
    <tableColumn id="1" xr3:uid="{0442B176-A495-4E3C-AF02-693FF85EBD5E}" name="SAMPLE_CODE"/>
    <tableColumn id="2" xr3:uid="{0415FA76-958B-4C3C-9830-6720FC005CB4}" name="SAMPLE_CODE_NAME"/>
    <tableColumn id="3" xr3:uid="{55178E46-5AA4-41B6-BDD3-06BA1C1C9143}" name="コード&amp;名称" dataDxfId="24">
      <calculatedColumnFormula>sample1_tbl2[[#This Row],[SAMPLE_CODE]]&amp;"-"&amp;sample1_tbl2[[#This Row],[SAMPLE_CODE_NAME]]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51265-C606-461F-BA21-16E786BB3663}" name="sample2_tbl1" displayName="sample2_tbl1" ref="B7:J11" totalsRowShown="0" headerRowDxfId="23">
  <autoFilter ref="B7:J11" xr:uid="{D1151265-C606-461F-BA21-16E786BB3663}"/>
  <tableColumns count="9">
    <tableColumn id="1" xr3:uid="{C983D358-6A7D-46D7-9752-CF8A1F07E863}" name="SAMPLE_ID"/>
    <tableColumn id="2" xr3:uid="{5F75E94F-FD28-42A4-BABB-B0945A9D572F}" name="SAMPLE_TEXT"/>
    <tableColumn id="3" xr3:uid="{E3E23A24-9162-487E-B68B-FB758FA73D0C}" name="SAMPLE_COMBOBOX_TEXT" dataDxfId="22"/>
    <tableColumn id="4" xr3:uid="{18DB6756-9009-41B9-BB44-6C05AFC86F09}" name="SAMPLE_VALUE"/>
    <tableColumn id="5" xr3:uid="{0DF17DE6-973C-4E3E-B415-37E599852AD0}" name="SAMPLE_DATE"/>
    <tableColumn id="6" xr3:uid="{DE24536A-9A11-46D9-9ECD-E8534D596393}" name="SAMPLE_FLAG"/>
    <tableColumn id="7" xr3:uid="{62BF5C04-D1CD-44A0-B421-0363EC654BE7}" name="SAMPLE_CODE"/>
    <tableColumn id="8" xr3:uid="{D6122B93-C131-4C68-A77E-FC5860B68FC4}" name="データ保存" dataDxfId="21">
      <calculatedColumnFormula>"▶"</calculatedColumnFormula>
    </tableColumn>
    <tableColumn id="9" xr3:uid="{054FDC8F-72B8-41F3-BD54-575CE52F2407}" name="データ削除" dataDxfId="20">
      <calculatedColumnFormula>"×"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" displayName="config" ref="A1:C4" totalsRowShown="0" headerRowDxfId="19" headerRowBorderDxfId="18" tableBorderDxfId="17" totalsRowBorderDxfId="16">
  <autoFilter ref="A1:C4" xr:uid="{BE31B310-FB3A-4F90-B4C6-E8A31659A52B}"/>
  <tableColumns count="3">
    <tableColumn id="1" xr3:uid="{19FC6851-C649-495C-A2D0-4E9ED793C013}" name="Key" dataDxfId="15"/>
    <tableColumn id="2" xr3:uid="{61932341-027D-4FD9-8B22-47C6142A7A3C}" name="Item" dataDxfId="14"/>
    <tableColumn id="3" xr3:uid="{09A726A5-E334-46A2-ADEA-65A6A5B2F26C}" name="説明" dataDxfId="1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" displayName="sql" ref="A1:E4" totalsRowShown="0" headerRowBorderDxfId="12" tableBorderDxfId="11" totalsRowBorderDxfId="10">
  <autoFilter ref="A1:E4" xr:uid="{B57DEBEC-EF9B-4346-9A3C-4CD3645A0719}"/>
  <tableColumns count="5">
    <tableColumn id="5" xr3:uid="{7C817B53-8B27-4707-9E2F-0319D0B2D7A9}" name="Name" dataDxfId="9"/>
    <tableColumn id="1" xr3:uid="{A043A5CB-90EA-476D-91E7-FBEEB390784A}" name="Sheet" dataDxfId="8"/>
    <tableColumn id="2" xr3:uid="{B48FE914-6DDD-429B-9E1D-E9FB7C3E6B8C}" name="Table" dataDxfId="7"/>
    <tableColumn id="3" xr3:uid="{27B205D7-FDAA-45A9-969A-4E6A129F7DCD}" name="SQL" dataDxfId="6"/>
    <tableColumn id="4" xr3:uid="{3C06CD90-BF44-42F4-8964-C38B45309D1C}" name="説明" dataDxfId="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5BC923-4A98-41E5-94B3-6C85E1A17B2C}" name="rules" displayName="rules" ref="B4:F13" totalsRowShown="0">
  <autoFilter ref="B4:F13" xr:uid="{6C5BC923-4A98-41E5-94B3-6C85E1A17B2C}"/>
  <tableColumns count="5">
    <tableColumn id="1" xr3:uid="{4C06795E-F3EF-408A-88EC-1FA1E99360AF}" name="大項目"/>
    <tableColumn id="5" xr3:uid="{4DD2E93F-93B9-4428-9B8D-B4037C2C6F07}" name="項目"/>
    <tableColumn id="2" xr3:uid="{A612DCB6-C05C-49C3-BC0F-217779101F70}" name="規則"/>
    <tableColumn id="3" xr3:uid="{CF450ACB-FD86-48F8-8F50-3CA96D440069}" name="例"/>
    <tableColumn id="6" xr3:uid="{BC7ECAE7-3EA5-49F5-A8E0-C3DA1358808C}" name="備考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M20"/>
  <sheetViews>
    <sheetView tabSelected="1" zoomScale="85" zoomScaleNormal="85" workbookViewId="0"/>
  </sheetViews>
  <sheetFormatPr defaultRowHeight="15.45" x14ac:dyDescent="0.4"/>
  <cols>
    <col min="1" max="1" width="2.5625" customWidth="1"/>
    <col min="2" max="2" width="13.375" bestFit="1" customWidth="1"/>
    <col min="3" max="3" width="15.875" bestFit="1" customWidth="1"/>
    <col min="4" max="4" width="27.8125" bestFit="1" customWidth="1"/>
    <col min="5" max="5" width="17.0625" bestFit="1" customWidth="1"/>
    <col min="6" max="6" width="15.9375" bestFit="1" customWidth="1"/>
    <col min="7" max="7" width="15.875" bestFit="1" customWidth="1"/>
    <col min="8" max="8" width="16.1875" bestFit="1" customWidth="1"/>
    <col min="9" max="10" width="2.5625" customWidth="1"/>
    <col min="11" max="11" width="16.1875" bestFit="1" customWidth="1"/>
    <col min="12" max="12" width="22.625" bestFit="1" customWidth="1"/>
    <col min="13" max="13" width="11.6875" bestFit="1" customWidth="1"/>
  </cols>
  <sheetData>
    <row r="1" spans="1:13" x14ac:dyDescent="0.4">
      <c r="A1" t="s">
        <v>107</v>
      </c>
    </row>
    <row r="6" spans="1:13" x14ac:dyDescent="0.4">
      <c r="B6" t="s">
        <v>32</v>
      </c>
      <c r="K6" t="s">
        <v>33</v>
      </c>
    </row>
    <row r="7" spans="1:13" x14ac:dyDescent="0.4">
      <c r="B7" t="s">
        <v>35</v>
      </c>
      <c r="C7" t="s">
        <v>36</v>
      </c>
      <c r="D7" t="s">
        <v>37</v>
      </c>
      <c r="E7" t="s">
        <v>40</v>
      </c>
      <c r="F7" s="14" t="s">
        <v>41</v>
      </c>
      <c r="G7" t="s">
        <v>38</v>
      </c>
      <c r="H7" t="s">
        <v>23</v>
      </c>
      <c r="K7" t="s">
        <v>23</v>
      </c>
      <c r="L7" t="s">
        <v>24</v>
      </c>
      <c r="M7" t="s">
        <v>34</v>
      </c>
    </row>
    <row r="8" spans="1:13" x14ac:dyDescent="0.4">
      <c r="B8">
        <v>1</v>
      </c>
      <c r="C8" t="s">
        <v>39</v>
      </c>
      <c r="D8" s="19" t="s">
        <v>87</v>
      </c>
      <c r="E8" s="23">
        <v>123</v>
      </c>
      <c r="F8" s="22">
        <v>44924</v>
      </c>
      <c r="G8" s="25">
        <v>1</v>
      </c>
      <c r="H8" s="14" t="s">
        <v>88</v>
      </c>
      <c r="I8" s="14"/>
      <c r="J8" s="14"/>
      <c r="K8" t="s">
        <v>75</v>
      </c>
      <c r="L8" t="s">
        <v>76</v>
      </c>
      <c r="M8" s="19" t="str">
        <f>sample1_tbl2[[#This Row],[SAMPLE_CODE]]&amp;"-"&amp;sample1_tbl2[[#This Row],[SAMPLE_CODE_NAME]]</f>
        <v>aaaa-bbb</v>
      </c>
    </row>
    <row r="9" spans="1:13" x14ac:dyDescent="0.4">
      <c r="B9">
        <v>2</v>
      </c>
      <c r="C9" t="s">
        <v>76</v>
      </c>
      <c r="D9" s="19" t="s">
        <v>89</v>
      </c>
      <c r="E9" s="23">
        <v>456</v>
      </c>
      <c r="F9" s="22">
        <v>44925</v>
      </c>
      <c r="G9" s="25">
        <v>0</v>
      </c>
      <c r="H9" s="14" t="s">
        <v>90</v>
      </c>
      <c r="I9" s="14"/>
      <c r="J9" s="14"/>
      <c r="K9" t="s">
        <v>77</v>
      </c>
      <c r="L9" t="s">
        <v>76</v>
      </c>
      <c r="M9" s="19" t="str">
        <f>sample1_tbl2[[#This Row],[SAMPLE_CODE]]&amp;"-"&amp;sample1_tbl2[[#This Row],[SAMPLE_CODE_NAME]]</f>
        <v>aaaaa-bbb</v>
      </c>
    </row>
    <row r="10" spans="1:13" x14ac:dyDescent="0.4">
      <c r="B10">
        <v>3</v>
      </c>
      <c r="C10" t="s">
        <v>91</v>
      </c>
      <c r="D10" s="19" t="s">
        <v>93</v>
      </c>
      <c r="E10" s="23">
        <v>789</v>
      </c>
      <c r="F10" s="22">
        <v>44926</v>
      </c>
      <c r="G10" s="25">
        <v>1</v>
      </c>
      <c r="H10" s="14" t="s">
        <v>95</v>
      </c>
      <c r="I10" s="14"/>
      <c r="J10" s="14"/>
      <c r="K10" t="s">
        <v>110</v>
      </c>
      <c r="L10" t="s">
        <v>39</v>
      </c>
      <c r="M10" s="19" t="str">
        <f>sample1_tbl2[[#This Row],[SAMPLE_CODE]]&amp;"-"&amp;sample1_tbl2[[#This Row],[SAMPLE_CODE_NAME]]</f>
        <v>001-aaa</v>
      </c>
    </row>
    <row r="11" spans="1:13" x14ac:dyDescent="0.4">
      <c r="B11">
        <v>4</v>
      </c>
      <c r="C11" t="s">
        <v>92</v>
      </c>
      <c r="D11" s="19" t="s">
        <v>94</v>
      </c>
      <c r="E11" s="23">
        <v>111</v>
      </c>
      <c r="F11" s="22">
        <v>44927</v>
      </c>
      <c r="G11" s="25">
        <v>0</v>
      </c>
      <c r="H11" s="14" t="s">
        <v>104</v>
      </c>
      <c r="I11" s="14"/>
      <c r="J11" s="14"/>
      <c r="K11" t="s">
        <v>111</v>
      </c>
      <c r="L11" t="s">
        <v>39</v>
      </c>
      <c r="M11" s="19" t="str">
        <f>sample1_tbl2[[#This Row],[SAMPLE_CODE]]&amp;"-"&amp;sample1_tbl2[[#This Row],[SAMPLE_CODE_NAME]]</f>
        <v>002-aaa</v>
      </c>
    </row>
    <row r="12" spans="1:13" x14ac:dyDescent="0.4">
      <c r="K12" t="s">
        <v>112</v>
      </c>
      <c r="L12" t="s">
        <v>39</v>
      </c>
      <c r="M12" s="19" t="str">
        <f>sample1_tbl2[[#This Row],[SAMPLE_CODE]]&amp;"-"&amp;sample1_tbl2[[#This Row],[SAMPLE_CODE_NAME]]</f>
        <v>003-aaa</v>
      </c>
    </row>
    <row r="13" spans="1:13" x14ac:dyDescent="0.4">
      <c r="K13" t="s">
        <v>113</v>
      </c>
      <c r="L13" t="s">
        <v>39</v>
      </c>
      <c r="M13" s="19" t="str">
        <f>sample1_tbl2[[#This Row],[SAMPLE_CODE]]&amp;"-"&amp;sample1_tbl2[[#This Row],[SAMPLE_CODE_NAME]]</f>
        <v>004-aaa</v>
      </c>
    </row>
    <row r="14" spans="1:13" x14ac:dyDescent="0.4">
      <c r="K14" t="s">
        <v>114</v>
      </c>
      <c r="L14" t="s">
        <v>39</v>
      </c>
      <c r="M14" s="19" t="str">
        <f>sample1_tbl2[[#This Row],[SAMPLE_CODE]]&amp;"-"&amp;sample1_tbl2[[#This Row],[SAMPLE_CODE_NAME]]</f>
        <v>005-aaa</v>
      </c>
    </row>
    <row r="15" spans="1:13" x14ac:dyDescent="0.4">
      <c r="K15" t="s">
        <v>115</v>
      </c>
      <c r="L15" t="s">
        <v>39</v>
      </c>
      <c r="M15" s="19" t="str">
        <f>sample1_tbl2[[#This Row],[SAMPLE_CODE]]&amp;"-"&amp;sample1_tbl2[[#This Row],[SAMPLE_CODE_NAME]]</f>
        <v>006-aaa</v>
      </c>
    </row>
    <row r="16" spans="1:13" x14ac:dyDescent="0.4">
      <c r="K16" t="s">
        <v>116</v>
      </c>
      <c r="L16" t="s">
        <v>39</v>
      </c>
      <c r="M16" s="19" t="str">
        <f>sample1_tbl2[[#This Row],[SAMPLE_CODE]]&amp;"-"&amp;sample1_tbl2[[#This Row],[SAMPLE_CODE_NAME]]</f>
        <v>007-aaa</v>
      </c>
    </row>
    <row r="17" spans="11:13" x14ac:dyDescent="0.4">
      <c r="K17" t="s">
        <v>1</v>
      </c>
      <c r="L17" t="s">
        <v>2</v>
      </c>
      <c r="M17" s="19" t="str">
        <f>sample1_tbl2[[#This Row],[SAMPLE_CODE]]&amp;"-"&amp;sample1_tbl2[[#This Row],[SAMPLE_CODE_NAME]]</f>
        <v>A-太陽</v>
      </c>
    </row>
    <row r="18" spans="11:13" x14ac:dyDescent="0.4">
      <c r="K18" t="s">
        <v>3</v>
      </c>
      <c r="L18" t="s">
        <v>4</v>
      </c>
      <c r="M18" s="19" t="str">
        <f>sample1_tbl2[[#This Row],[SAMPLE_CODE]]&amp;"-"&amp;sample1_tbl2[[#This Row],[SAMPLE_CODE_NAME]]</f>
        <v>B-月</v>
      </c>
    </row>
    <row r="19" spans="11:13" x14ac:dyDescent="0.4">
      <c r="K19" t="s">
        <v>5</v>
      </c>
      <c r="L19" t="s">
        <v>6</v>
      </c>
      <c r="M19" s="19" t="str">
        <f>sample1_tbl2[[#This Row],[SAMPLE_CODE]]&amp;"-"&amp;sample1_tbl2[[#This Row],[SAMPLE_CODE_NAME]]</f>
        <v>C-地球</v>
      </c>
    </row>
    <row r="20" spans="11:13" x14ac:dyDescent="0.4">
      <c r="K20" t="s">
        <v>39</v>
      </c>
      <c r="L20" t="s">
        <v>76</v>
      </c>
      <c r="M20" s="19" t="str">
        <f>sample1_tbl2[[#This Row],[SAMPLE_CODE]]&amp;"-"&amp;sample1_tbl2[[#This Row],[SAMPLE_CODE_NAME]]</f>
        <v>aaa-bbb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GetDataButton">
          <controlPr defaultSize="0" autoLine="0" r:id="rId4">
            <anchor moveWithCells="1">
              <from>
                <xdr:col>1</xdr:col>
                <xdr:colOff>533400</xdr:colOff>
                <xdr:row>1</xdr:row>
                <xdr:rowOff>141514</xdr:rowOff>
              </from>
              <to>
                <xdr:col>2</xdr:col>
                <xdr:colOff>457200</xdr:colOff>
                <xdr:row>3</xdr:row>
                <xdr:rowOff>141514</xdr:rowOff>
              </to>
            </anchor>
          </controlPr>
        </control>
      </mc:Choice>
      <mc:Fallback>
        <control shapeId="12289" r:id="rId3" name="GetDataButton"/>
      </mc:Fallback>
    </mc:AlternateContent>
    <mc:AlternateContent xmlns:mc="http://schemas.openxmlformats.org/markup-compatibility/2006">
      <mc:Choice Requires="x14">
        <control shapeId="12290" r:id="rId5" name="SampleIdOrderByButton">
          <controlPr defaultSize="0" autoLine="0" r:id="rId6">
            <anchor moveWithCells="1">
              <from>
                <xdr:col>2</xdr:col>
                <xdr:colOff>751114</xdr:colOff>
                <xdr:row>1</xdr:row>
                <xdr:rowOff>141514</xdr:rowOff>
              </from>
              <to>
                <xdr:col>3</xdr:col>
                <xdr:colOff>740229</xdr:colOff>
                <xdr:row>3</xdr:row>
                <xdr:rowOff>141514</xdr:rowOff>
              </to>
            </anchor>
          </controlPr>
        </control>
      </mc:Choice>
      <mc:Fallback>
        <control shapeId="12290" r:id="rId5" name="SampleIdOrderByButton"/>
      </mc:Fallback>
    </mc:AlternateContent>
    <mc:AlternateContent xmlns:mc="http://schemas.openxmlformats.org/markup-compatibility/2006">
      <mc:Choice Requires="x14">
        <control shapeId="12291" r:id="rId7" name="SampleIdOrderByDescendingButton">
          <controlPr defaultSize="0" autoLine="0" r:id="rId8">
            <anchor moveWithCells="1">
              <from>
                <xdr:col>3</xdr:col>
                <xdr:colOff>1006929</xdr:colOff>
                <xdr:row>1</xdr:row>
                <xdr:rowOff>141514</xdr:rowOff>
              </from>
              <to>
                <xdr:col>3</xdr:col>
                <xdr:colOff>2378529</xdr:colOff>
                <xdr:row>3</xdr:row>
                <xdr:rowOff>141514</xdr:rowOff>
              </to>
            </anchor>
          </controlPr>
        </control>
      </mc:Choice>
      <mc:Fallback>
        <control shapeId="12291" r:id="rId7" name="SampleIdOrderByDescendingButton"/>
      </mc:Fallback>
    </mc:AlternateContent>
    <mc:AlternateContent xmlns:mc="http://schemas.openxmlformats.org/markup-compatibility/2006">
      <mc:Choice Requires="x14">
        <control shapeId="12292" r:id="rId9" name="FilterButton">
          <controlPr defaultSize="0" autoLine="0" r:id="rId10">
            <anchor moveWithCells="1">
              <from>
                <xdr:col>4</xdr:col>
                <xdr:colOff>364671</xdr:colOff>
                <xdr:row>1</xdr:row>
                <xdr:rowOff>141514</xdr:rowOff>
              </from>
              <to>
                <xdr:col>5</xdr:col>
                <xdr:colOff>250371</xdr:colOff>
                <xdr:row>3</xdr:row>
                <xdr:rowOff>141514</xdr:rowOff>
              </to>
            </anchor>
          </controlPr>
        </control>
      </mc:Choice>
      <mc:Fallback>
        <control shapeId="12292" r:id="rId9" name="FilterButton"/>
      </mc:Fallback>
    </mc:AlternateContent>
    <mc:AlternateContent xmlns:mc="http://schemas.openxmlformats.org/markup-compatibility/2006">
      <mc:Choice Requires="x14">
        <control shapeId="12293" r:id="rId11" name="FilterClearButton">
          <controlPr defaultSize="0" autoLine="0" r:id="rId12">
            <anchor moveWithCells="1">
              <from>
                <xdr:col>5</xdr:col>
                <xdr:colOff>576943</xdr:colOff>
                <xdr:row>1</xdr:row>
                <xdr:rowOff>141514</xdr:rowOff>
              </from>
              <to>
                <xdr:col>6</xdr:col>
                <xdr:colOff>560614</xdr:colOff>
                <xdr:row>3</xdr:row>
                <xdr:rowOff>141514</xdr:rowOff>
              </to>
            </anchor>
          </controlPr>
        </control>
      </mc:Choice>
      <mc:Fallback>
        <control shapeId="12293" r:id="rId11" name="FilterClearButton"/>
      </mc:Fallback>
    </mc:AlternateContent>
  </controls>
  <tableParts count="2"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C0B8E-3085-47AA-A2E1-5F52410E747B}">
  <sheetPr codeName="View2"/>
  <dimension ref="A1:J11"/>
  <sheetViews>
    <sheetView workbookViewId="0">
      <selection activeCell="E17" sqref="E17"/>
    </sheetView>
  </sheetViews>
  <sheetFormatPr defaultRowHeight="15.45" x14ac:dyDescent="0.4"/>
  <cols>
    <col min="1" max="1" width="2.5625" customWidth="1"/>
    <col min="2" max="2" width="11.5" customWidth="1"/>
    <col min="3" max="3" width="13.4375" customWidth="1"/>
    <col min="4" max="4" width="15.5625" customWidth="1"/>
    <col min="5" max="5" width="9.8125" customWidth="1"/>
    <col min="6" max="6" width="10.5625" bestFit="1" customWidth="1"/>
    <col min="7" max="7" width="15.6875" bestFit="1" customWidth="1"/>
    <col min="8" max="8" width="16.125" bestFit="1" customWidth="1"/>
    <col min="9" max="10" width="12.1875" customWidth="1"/>
  </cols>
  <sheetData>
    <row r="1" spans="1:10" x14ac:dyDescent="0.4">
      <c r="A1" t="s">
        <v>80</v>
      </c>
    </row>
    <row r="6" spans="1:10" x14ac:dyDescent="0.4">
      <c r="B6" t="s">
        <v>105</v>
      </c>
    </row>
    <row r="7" spans="1:10" ht="30.9" x14ac:dyDescent="0.4">
      <c r="B7" s="15" t="s">
        <v>35</v>
      </c>
      <c r="C7" s="15" t="s">
        <v>36</v>
      </c>
      <c r="D7" s="15" t="s">
        <v>37</v>
      </c>
      <c r="E7" s="15" t="s">
        <v>40</v>
      </c>
      <c r="F7" s="15" t="s">
        <v>41</v>
      </c>
      <c r="G7" s="15" t="s">
        <v>38</v>
      </c>
      <c r="H7" s="15" t="s">
        <v>23</v>
      </c>
      <c r="I7" s="17" t="s">
        <v>86</v>
      </c>
      <c r="J7" s="17" t="s">
        <v>85</v>
      </c>
    </row>
    <row r="8" spans="1:10" x14ac:dyDescent="0.4">
      <c r="B8" s="15">
        <v>1</v>
      </c>
      <c r="C8" s="15" t="s">
        <v>39</v>
      </c>
      <c r="D8" s="20" t="s">
        <v>87</v>
      </c>
      <c r="E8" s="15">
        <v>123</v>
      </c>
      <c r="F8" s="18">
        <v>44924</v>
      </c>
      <c r="G8" s="18">
        <v>1</v>
      </c>
      <c r="H8" s="18" t="s">
        <v>88</v>
      </c>
      <c r="I8" s="21" t="str">
        <f t="shared" ref="I8:I11" si="0">"▶"</f>
        <v>▶</v>
      </c>
      <c r="J8" s="24" t="str">
        <f t="shared" ref="J8:J11" si="1">"×"</f>
        <v>×</v>
      </c>
    </row>
    <row r="9" spans="1:10" x14ac:dyDescent="0.4">
      <c r="B9">
        <v>2</v>
      </c>
      <c r="C9" t="s">
        <v>76</v>
      </c>
      <c r="D9" s="19" t="s">
        <v>89</v>
      </c>
      <c r="E9">
        <v>456</v>
      </c>
      <c r="F9" s="14">
        <v>44925</v>
      </c>
      <c r="G9">
        <v>0</v>
      </c>
      <c r="H9" t="s">
        <v>90</v>
      </c>
      <c r="I9" s="21" t="str">
        <f t="shared" si="0"/>
        <v>▶</v>
      </c>
      <c r="J9" s="16" t="str">
        <f t="shared" si="1"/>
        <v>×</v>
      </c>
    </row>
    <row r="10" spans="1:10" x14ac:dyDescent="0.4">
      <c r="B10">
        <v>3</v>
      </c>
      <c r="C10" t="s">
        <v>91</v>
      </c>
      <c r="D10" s="19" t="s">
        <v>93</v>
      </c>
      <c r="E10">
        <v>789</v>
      </c>
      <c r="F10" s="14">
        <v>44926</v>
      </c>
      <c r="G10">
        <v>1</v>
      </c>
      <c r="H10" t="s">
        <v>95</v>
      </c>
      <c r="I10" s="21" t="str">
        <f t="shared" si="0"/>
        <v>▶</v>
      </c>
      <c r="J10" s="16" t="str">
        <f t="shared" si="1"/>
        <v>×</v>
      </c>
    </row>
    <row r="11" spans="1:10" x14ac:dyDescent="0.4">
      <c r="B11">
        <v>4</v>
      </c>
      <c r="C11" t="s">
        <v>92</v>
      </c>
      <c r="D11" s="19" t="s">
        <v>94</v>
      </c>
      <c r="E11">
        <v>111</v>
      </c>
      <c r="F11" s="14">
        <v>44927</v>
      </c>
      <c r="G11">
        <v>0</v>
      </c>
      <c r="H11" t="s">
        <v>104</v>
      </c>
      <c r="I11" s="21" t="str">
        <f t="shared" si="0"/>
        <v>▶</v>
      </c>
      <c r="J11" s="16" t="str">
        <f t="shared" si="1"/>
        <v>×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SaveAllButton">
          <controlPr defaultSize="0" autoLine="0" r:id="rId4">
            <anchor moveWithCells="1">
              <from>
                <xdr:col>1</xdr:col>
                <xdr:colOff>206829</xdr:colOff>
                <xdr:row>2</xdr:row>
                <xdr:rowOff>27214</xdr:rowOff>
              </from>
              <to>
                <xdr:col>2</xdr:col>
                <xdr:colOff>527957</xdr:colOff>
                <xdr:row>4</xdr:row>
                <xdr:rowOff>59871</xdr:rowOff>
              </to>
            </anchor>
          </controlPr>
        </control>
      </mc:Choice>
      <mc:Fallback>
        <control shapeId="11265" r:id="rId3" name="SaveAllButton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/>
  </sheetViews>
  <sheetFormatPr defaultRowHeight="15.4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B20" sqref="B20"/>
    </sheetView>
  </sheetViews>
  <sheetFormatPr defaultRowHeight="15.45" x14ac:dyDescent="0.4"/>
  <cols>
    <col min="1" max="1" width="19.375" customWidth="1"/>
    <col min="3" max="3" width="22.0625" customWidth="1"/>
  </cols>
  <sheetData>
    <row r="1" spans="1:3" x14ac:dyDescent="0.4">
      <c r="A1" s="9" t="s">
        <v>11</v>
      </c>
      <c r="B1" s="10" t="s">
        <v>12</v>
      </c>
      <c r="C1" s="4" t="s">
        <v>10</v>
      </c>
    </row>
    <row r="2" spans="1:3" x14ac:dyDescent="0.4">
      <c r="A2" s="5" t="s">
        <v>13</v>
      </c>
      <c r="B2" s="6" t="s">
        <v>16</v>
      </c>
      <c r="C2" s="2" t="s">
        <v>18</v>
      </c>
    </row>
    <row r="3" spans="1:3" x14ac:dyDescent="0.4">
      <c r="A3" s="5" t="s">
        <v>14</v>
      </c>
      <c r="B3" s="6" t="s">
        <v>17</v>
      </c>
      <c r="C3" s="2" t="s">
        <v>19</v>
      </c>
    </row>
    <row r="4" spans="1:3" x14ac:dyDescent="0.4">
      <c r="A4" s="7" t="s">
        <v>15</v>
      </c>
      <c r="B4" s="8" t="s">
        <v>17</v>
      </c>
      <c r="C4" s="3" t="s">
        <v>20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penConnectionOracleOra">
                <anchor moveWithCells="1" sizeWithCells="1">
                  <from>
                    <xdr:col>3</xdr:col>
                    <xdr:colOff>364671</xdr:colOff>
                    <xdr:row>1</xdr:row>
                    <xdr:rowOff>10886</xdr:rowOff>
                  </from>
                  <to>
                    <xdr:col>5</xdr:col>
                    <xdr:colOff>0</xdr:colOff>
                    <xdr:row>3</xdr:row>
                    <xdr:rowOff>32657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4"/>
  <sheetViews>
    <sheetView workbookViewId="0">
      <selection activeCell="C27" sqref="C27"/>
    </sheetView>
  </sheetViews>
  <sheetFormatPr defaultRowHeight="15.45" x14ac:dyDescent="0.4"/>
  <cols>
    <col min="1" max="1" width="11.8125" customWidth="1"/>
    <col min="3" max="3" width="11.875" bestFit="1" customWidth="1"/>
    <col min="4" max="4" width="25.0625" bestFit="1" customWidth="1"/>
    <col min="5" max="5" width="29.5625" customWidth="1"/>
    <col min="6" max="6" width="27.6875" customWidth="1"/>
  </cols>
  <sheetData>
    <row r="1" spans="1:5" x14ac:dyDescent="0.4">
      <c r="A1" s="9" t="s">
        <v>100</v>
      </c>
      <c r="B1" s="9" t="s">
        <v>8</v>
      </c>
      <c r="C1" s="10" t="s">
        <v>9</v>
      </c>
      <c r="D1" s="10" t="s">
        <v>7</v>
      </c>
      <c r="E1" s="4" t="s">
        <v>10</v>
      </c>
    </row>
    <row r="2" spans="1:5" x14ac:dyDescent="0.4">
      <c r="A2" s="5" t="s">
        <v>101</v>
      </c>
      <c r="B2" s="5" t="s">
        <v>31</v>
      </c>
      <c r="C2" s="6" t="s">
        <v>32</v>
      </c>
      <c r="D2" s="6" t="s">
        <v>21</v>
      </c>
      <c r="E2" s="2"/>
    </row>
    <row r="3" spans="1:5" x14ac:dyDescent="0.4">
      <c r="A3" s="5" t="s">
        <v>102</v>
      </c>
      <c r="B3" s="5" t="s">
        <v>31</v>
      </c>
      <c r="C3" s="6" t="s">
        <v>33</v>
      </c>
      <c r="D3" s="8" t="s">
        <v>22</v>
      </c>
      <c r="E3" s="3"/>
    </row>
    <row r="4" spans="1:5" x14ac:dyDescent="0.4">
      <c r="A4" s="5" t="s">
        <v>103</v>
      </c>
      <c r="B4" s="7" t="s">
        <v>78</v>
      </c>
      <c r="C4" s="8" t="s">
        <v>79</v>
      </c>
      <c r="D4" s="6" t="s">
        <v>21</v>
      </c>
      <c r="E4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130629</xdr:colOff>
                    <xdr:row>0</xdr:row>
                    <xdr:rowOff>92529</xdr:rowOff>
                  </from>
                  <to>
                    <xdr:col>5</xdr:col>
                    <xdr:colOff>2002971</xdr:colOff>
                    <xdr:row>2</xdr:row>
                    <xdr:rowOff>119743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331D-1D87-4DEE-BEAC-CAF5909FC6DE}">
  <sheetPr codeName="Sheet20">
    <tabColor theme="0" tint="-0.499984740745262"/>
  </sheetPr>
  <dimension ref="A1"/>
  <sheetViews>
    <sheetView workbookViewId="0">
      <selection activeCell="F32" sqref="F32"/>
    </sheetView>
  </sheetViews>
  <sheetFormatPr defaultRowHeight="15.4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21"/>
  <dimension ref="A1:C4"/>
  <sheetViews>
    <sheetView zoomScale="90" zoomScaleNormal="90" workbookViewId="0"/>
  </sheetViews>
  <sheetFormatPr defaultRowHeight="15.45" x14ac:dyDescent="0.4"/>
  <cols>
    <col min="2" max="2" width="43.75" bestFit="1" customWidth="1"/>
    <col min="3" max="3" width="10.5625" bestFit="1" customWidth="1"/>
  </cols>
  <sheetData>
    <row r="1" spans="1:3" x14ac:dyDescent="0.4">
      <c r="A1" t="s">
        <v>72</v>
      </c>
      <c r="B1" t="s">
        <v>73</v>
      </c>
      <c r="C1" t="s">
        <v>74</v>
      </c>
    </row>
    <row r="2" spans="1:3" x14ac:dyDescent="0.4">
      <c r="A2" t="s">
        <v>83</v>
      </c>
      <c r="B2" t="s">
        <v>84</v>
      </c>
      <c r="C2" s="14">
        <v>44920</v>
      </c>
    </row>
    <row r="3" spans="1:3" x14ac:dyDescent="0.4">
      <c r="A3" t="s">
        <v>108</v>
      </c>
      <c r="B3" t="s">
        <v>109</v>
      </c>
      <c r="C3" s="14">
        <v>44924</v>
      </c>
    </row>
    <row r="4" spans="1:3" ht="46.3" x14ac:dyDescent="0.4">
      <c r="A4" t="s">
        <v>117</v>
      </c>
      <c r="B4" s="12" t="s">
        <v>118</v>
      </c>
      <c r="C4" s="14">
        <v>44940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C221-CA1C-42E9-9497-3B10B00C2668}">
  <sheetPr codeName="Sheet22"/>
  <dimension ref="A1:F13"/>
  <sheetViews>
    <sheetView zoomScale="85" zoomScaleNormal="85" workbookViewId="0"/>
  </sheetViews>
  <sheetFormatPr defaultRowHeight="15.45" x14ac:dyDescent="0.4"/>
  <cols>
    <col min="1" max="1" width="2.5625" customWidth="1"/>
    <col min="2" max="2" width="16.0625" customWidth="1"/>
    <col min="3" max="3" width="19.8125" bestFit="1" customWidth="1"/>
    <col min="4" max="4" width="26.5625" customWidth="1"/>
    <col min="5" max="5" width="33.5625" customWidth="1"/>
    <col min="6" max="6" width="35.25" customWidth="1"/>
  </cols>
  <sheetData>
    <row r="1" spans="1:6" ht="19.3" x14ac:dyDescent="0.4">
      <c r="A1" s="1" t="s">
        <v>0</v>
      </c>
    </row>
    <row r="2" spans="1:6" x14ac:dyDescent="0.4">
      <c r="F2" s="13" t="s">
        <v>30</v>
      </c>
    </row>
    <row r="4" spans="1:6" x14ac:dyDescent="0.4">
      <c r="B4" t="s">
        <v>25</v>
      </c>
      <c r="C4" t="s">
        <v>26</v>
      </c>
      <c r="D4" t="s">
        <v>27</v>
      </c>
      <c r="E4" t="s">
        <v>28</v>
      </c>
      <c r="F4" t="s">
        <v>29</v>
      </c>
    </row>
    <row r="5" spans="1:6" x14ac:dyDescent="0.4">
      <c r="B5" t="s">
        <v>43</v>
      </c>
      <c r="C5" t="s">
        <v>44</v>
      </c>
      <c r="D5" t="s">
        <v>45</v>
      </c>
      <c r="E5" t="s">
        <v>46</v>
      </c>
      <c r="F5" s="11"/>
    </row>
    <row r="6" spans="1:6" x14ac:dyDescent="0.4">
      <c r="B6" t="s">
        <v>43</v>
      </c>
      <c r="C6" t="s">
        <v>47</v>
      </c>
      <c r="D6" s="12" t="s">
        <v>48</v>
      </c>
      <c r="E6" s="12" t="s">
        <v>49</v>
      </c>
    </row>
    <row r="7" spans="1:6" x14ac:dyDescent="0.4">
      <c r="B7" t="s">
        <v>43</v>
      </c>
      <c r="C7" t="s">
        <v>50</v>
      </c>
      <c r="D7" t="s">
        <v>51</v>
      </c>
      <c r="E7" s="12" t="s">
        <v>52</v>
      </c>
    </row>
    <row r="8" spans="1:6" x14ac:dyDescent="0.4">
      <c r="B8" t="s">
        <v>43</v>
      </c>
      <c r="C8" t="s">
        <v>53</v>
      </c>
      <c r="D8" s="12" t="s">
        <v>54</v>
      </c>
      <c r="E8" s="12" t="s">
        <v>55</v>
      </c>
    </row>
    <row r="9" spans="1:6" x14ac:dyDescent="0.4">
      <c r="B9" t="s">
        <v>56</v>
      </c>
      <c r="C9" t="s">
        <v>57</v>
      </c>
      <c r="D9" t="s">
        <v>58</v>
      </c>
      <c r="E9" t="s">
        <v>59</v>
      </c>
    </row>
    <row r="10" spans="1:6" x14ac:dyDescent="0.4">
      <c r="B10" t="s">
        <v>56</v>
      </c>
      <c r="C10" t="s">
        <v>60</v>
      </c>
      <c r="D10" t="s">
        <v>61</v>
      </c>
      <c r="E10" t="s">
        <v>62</v>
      </c>
    </row>
    <row r="11" spans="1:6" x14ac:dyDescent="0.4">
      <c r="B11" t="s">
        <v>56</v>
      </c>
      <c r="C11" t="s">
        <v>63</v>
      </c>
      <c r="D11" t="s">
        <v>64</v>
      </c>
      <c r="E11" t="s">
        <v>65</v>
      </c>
    </row>
    <row r="12" spans="1:6" x14ac:dyDescent="0.4">
      <c r="B12" t="s">
        <v>56</v>
      </c>
      <c r="C12" t="s">
        <v>66</v>
      </c>
      <c r="D12" t="s">
        <v>67</v>
      </c>
      <c r="E12" t="s">
        <v>68</v>
      </c>
    </row>
    <row r="13" spans="1:6" x14ac:dyDescent="0.4">
      <c r="B13" t="s">
        <v>56</v>
      </c>
      <c r="C13" t="s">
        <v>69</v>
      </c>
      <c r="D13" t="s">
        <v>70</v>
      </c>
      <c r="E13" t="s">
        <v>71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95C6-27AF-4AEC-81DD-1F22746ED8BB}">
  <sheetPr codeName="Sheet23"/>
  <dimension ref="A1:B6"/>
  <sheetViews>
    <sheetView workbookViewId="0"/>
  </sheetViews>
  <sheetFormatPr defaultRowHeight="15.45" x14ac:dyDescent="0.4"/>
  <cols>
    <col min="1" max="1" width="69.1875" bestFit="1" customWidth="1"/>
  </cols>
  <sheetData>
    <row r="1" spans="1:2" x14ac:dyDescent="0.4">
      <c r="A1" t="s">
        <v>97</v>
      </c>
      <c r="B1" t="s">
        <v>96</v>
      </c>
    </row>
    <row r="2" spans="1:2" x14ac:dyDescent="0.4">
      <c r="A2" t="s">
        <v>42</v>
      </c>
      <c r="B2" t="s">
        <v>81</v>
      </c>
    </row>
    <row r="3" spans="1:2" x14ac:dyDescent="0.4">
      <c r="A3" t="s">
        <v>82</v>
      </c>
      <c r="B3" t="s">
        <v>81</v>
      </c>
    </row>
    <row r="4" spans="1:2" x14ac:dyDescent="0.4">
      <c r="A4" t="s">
        <v>98</v>
      </c>
      <c r="B4" t="s">
        <v>81</v>
      </c>
    </row>
    <row r="5" spans="1:2" x14ac:dyDescent="0.4">
      <c r="A5" t="s">
        <v>99</v>
      </c>
      <c r="B5" t="s">
        <v>81</v>
      </c>
    </row>
    <row r="6" spans="1:2" x14ac:dyDescent="0.4">
      <c r="A6" t="s">
        <v>106</v>
      </c>
      <c r="B6" t="s">
        <v>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Sample1</vt:lpstr>
      <vt:lpstr>Sample2</vt:lpstr>
      <vt:lpstr>├設定</vt:lpstr>
      <vt:lpstr>Config</vt:lpstr>
      <vt:lpstr>SQL</vt:lpstr>
      <vt:lpstr>├その他</vt:lpstr>
      <vt:lpstr>ver</vt:lpstr>
      <vt:lpstr>コーディング規約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2022-12-15T11:29:48Z</dcterms:created>
  <dcterms:modified xsi:type="dcterms:W3CDTF">2023-01-14T03:48:40Z</dcterms:modified>
</cp:coreProperties>
</file>