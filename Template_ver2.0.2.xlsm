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template-vba\"/>
    </mc:Choice>
  </mc:AlternateContent>
  <xr:revisionPtr revIDLastSave="0" documentId="13_ncr:1_{CFC76524-2E22-4FF3-855D-C9908D169751}" xr6:coauthVersionLast="47" xr6:coauthVersionMax="47" xr10:uidLastSave="{00000000-0000-0000-0000-000000000000}"/>
  <bookViews>
    <workbookView xWindow="-103" yWindow="-103" windowWidth="23657" windowHeight="15240" activeTab="6" xr2:uid="{179866D5-2E69-4839-8A6E-8031CDBFC8D4}"/>
  </bookViews>
  <sheets>
    <sheet name="Sample1" sheetId="2" r:id="rId1"/>
    <sheet name="Sample2" sheetId="10" r:id="rId2"/>
    <sheet name="├設定" sheetId="6" r:id="rId3"/>
    <sheet name="Config" sheetId="3" r:id="rId4"/>
    <sheet name="SQL" sheetId="5" r:id="rId5"/>
    <sheet name="├その他" sheetId="8" r:id="rId6"/>
    <sheet name="ver" sheetId="9" r:id="rId7"/>
    <sheet name="コーディング規約" sheetId="1" r:id="rId8"/>
    <sheet name="ToDo" sheetId="7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0" l="1"/>
  <c r="H5" i="10"/>
  <c r="H6" i="10"/>
  <c r="M6" i="2"/>
  <c r="M7" i="2"/>
  <c r="M8" i="2"/>
  <c r="M9" i="2"/>
  <c r="M10" i="2"/>
  <c r="M11" i="2"/>
  <c r="M12" i="2"/>
  <c r="M13" i="2"/>
  <c r="M14" i="2"/>
  <c r="M15" i="2"/>
  <c r="M16" i="2"/>
  <c r="M17" i="2"/>
  <c r="M5" i="2"/>
</calcChain>
</file>

<file path=xl/sharedStrings.xml><?xml version="1.0" encoding="utf-8"?>
<sst xmlns="http://schemas.openxmlformats.org/spreadsheetml/2006/main" count="138" uniqueCount="105">
  <si>
    <t>コーディング規約</t>
    <rPh sb="6" eb="8">
      <t>キヤク</t>
    </rPh>
    <phoneticPr fontId="1"/>
  </si>
  <si>
    <t>A</t>
  </si>
  <si>
    <t>太陽</t>
  </si>
  <si>
    <t>B</t>
  </si>
  <si>
    <t>月</t>
  </si>
  <si>
    <t>C</t>
  </si>
  <si>
    <t>地球</t>
  </si>
  <si>
    <t>SQL</t>
    <phoneticPr fontId="1"/>
  </si>
  <si>
    <t>Sheet</t>
    <phoneticPr fontId="1"/>
  </si>
  <si>
    <t>Table</t>
    <phoneticPr fontId="1"/>
  </si>
  <si>
    <t>説明</t>
    <rPh sb="0" eb="2">
      <t>セツメイ</t>
    </rPh>
    <phoneticPr fontId="1"/>
  </si>
  <si>
    <t>Key</t>
    <phoneticPr fontId="1"/>
  </si>
  <si>
    <t>Item</t>
    <phoneticPr fontId="1"/>
  </si>
  <si>
    <t>ORA_DATA_SOURCE</t>
    <phoneticPr fontId="1"/>
  </si>
  <si>
    <t>ORA_USER_ID</t>
    <phoneticPr fontId="1"/>
  </si>
  <si>
    <t>ORA_PASSWORD</t>
  </si>
  <si>
    <t>TESTDB</t>
    <phoneticPr fontId="1"/>
  </si>
  <si>
    <t>atman</t>
    <phoneticPr fontId="1"/>
  </si>
  <si>
    <t>OracleDB接続子</t>
    <rPh sb="8" eb="10">
      <t>セツゾク</t>
    </rPh>
    <rPh sb="10" eb="11">
      <t>コ</t>
    </rPh>
    <phoneticPr fontId="1"/>
  </si>
  <si>
    <t>ユーザー</t>
    <phoneticPr fontId="1"/>
  </si>
  <si>
    <t>パスワード</t>
    <phoneticPr fontId="1"/>
  </si>
  <si>
    <t>select * from sample_table</t>
    <phoneticPr fontId="1"/>
  </si>
  <si>
    <t>select * from sample_master</t>
    <phoneticPr fontId="1"/>
  </si>
  <si>
    <t>SAMPLE_CODE</t>
    <phoneticPr fontId="1"/>
  </si>
  <si>
    <t>SAMPLE_CODE_NAME</t>
    <phoneticPr fontId="1"/>
  </si>
  <si>
    <t>C</t>
    <phoneticPr fontId="1"/>
  </si>
  <si>
    <t>大項目</t>
    <rPh sb="0" eb="3">
      <t>ダイコウモク</t>
    </rPh>
    <phoneticPr fontId="1"/>
  </si>
  <si>
    <t>項目</t>
    <rPh sb="0" eb="2">
      <t>コウモク</t>
    </rPh>
    <phoneticPr fontId="1"/>
  </si>
  <si>
    <t>規則</t>
    <rPh sb="0" eb="2">
      <t>キソク</t>
    </rPh>
    <phoneticPr fontId="1"/>
  </si>
  <si>
    <t>例</t>
    <rPh sb="0" eb="1">
      <t>レイ</t>
    </rPh>
    <phoneticPr fontId="1"/>
  </si>
  <si>
    <t>備考</t>
    <rPh sb="0" eb="2">
      <t>ビコウ</t>
    </rPh>
    <phoneticPr fontId="1"/>
  </si>
  <si>
    <t>作成日:2022/12/17</t>
    <rPh sb="0" eb="3">
      <t>サクセイニチ</t>
    </rPh>
    <phoneticPr fontId="1"/>
  </si>
  <si>
    <t>Sample1</t>
    <phoneticPr fontId="1"/>
  </si>
  <si>
    <t>sample1_tbl1</t>
  </si>
  <si>
    <t>sample1_tbl2</t>
    <phoneticPr fontId="1"/>
  </si>
  <si>
    <t>コード&amp;名称</t>
    <rPh sb="4" eb="6">
      <t>メイショウ</t>
    </rPh>
    <phoneticPr fontId="1"/>
  </si>
  <si>
    <t>SAMPLE_ID</t>
    <phoneticPr fontId="1"/>
  </si>
  <si>
    <t>SAMPLE_TEXT</t>
    <phoneticPr fontId="1"/>
  </si>
  <si>
    <t>SAMPLE_COMBOBOX_TEXT</t>
    <phoneticPr fontId="1"/>
  </si>
  <si>
    <t>SAMPLE_FLAG</t>
    <phoneticPr fontId="1"/>
  </si>
  <si>
    <t>aaa</t>
  </si>
  <si>
    <t>a</t>
  </si>
  <si>
    <t>朝</t>
  </si>
  <si>
    <t>b</t>
  </si>
  <si>
    <t>昼</t>
  </si>
  <si>
    <t>SAMPLE_VALUE</t>
    <phoneticPr fontId="1"/>
  </si>
  <si>
    <t>SAMPLE_DATE</t>
    <phoneticPr fontId="1"/>
  </si>
  <si>
    <t>Oracle操作クラスにINSERT、UPDATE、DELETE処理を追加</t>
    <rPh sb="6" eb="8">
      <t>ソウサ</t>
    </rPh>
    <rPh sb="32" eb="34">
      <t>ショリ</t>
    </rPh>
    <rPh sb="35" eb="37">
      <t>ツイカ</t>
    </rPh>
    <phoneticPr fontId="1"/>
  </si>
  <si>
    <t>テーブルを操作するクラスを作成（テーブルからテーブルにデータコピー、並び替えなど基本機能を実装）</t>
    <rPh sb="5" eb="7">
      <t>ソウサ</t>
    </rPh>
    <rPh sb="13" eb="15">
      <t>サクセイ</t>
    </rPh>
    <rPh sb="34" eb="35">
      <t>ナラ</t>
    </rPh>
    <rPh sb="36" eb="37">
      <t>カ</t>
    </rPh>
    <rPh sb="40" eb="42">
      <t>キホン</t>
    </rPh>
    <rPh sb="42" eb="44">
      <t>キノウ</t>
    </rPh>
    <rPh sb="45" eb="47">
      <t>ジッソウ</t>
    </rPh>
    <phoneticPr fontId="1"/>
  </si>
  <si>
    <t>コードの表記方法</t>
    <rPh sb="4" eb="8">
      <t>ヒョウキホウホウ</t>
    </rPh>
    <phoneticPr fontId="1"/>
  </si>
  <si>
    <t>定数</t>
    <rPh sb="0" eb="2">
      <t>テイスウ</t>
    </rPh>
    <phoneticPr fontId="1"/>
  </si>
  <si>
    <t>大文字のスネークケース</t>
    <rPh sb="0" eb="3">
      <t>オオモジ</t>
    </rPh>
    <phoneticPr fontId="1"/>
  </si>
  <si>
    <t>CONFIG_SHEET</t>
    <phoneticPr fontId="1"/>
  </si>
  <si>
    <t>モジュール、メソッド内の変数</t>
    <rPh sb="10" eb="11">
      <t>ナイ</t>
    </rPh>
    <rPh sb="12" eb="14">
      <t>ヘンスウ</t>
    </rPh>
    <phoneticPr fontId="1"/>
  </si>
  <si>
    <t>キャメルケース</t>
    <phoneticPr fontId="1"/>
  </si>
  <si>
    <t>tableName</t>
    <phoneticPr fontId="1"/>
  </si>
  <si>
    <t>メソッド</t>
    <phoneticPr fontId="1"/>
  </si>
  <si>
    <t>パスカルケース</t>
    <phoneticPr fontId="1"/>
  </si>
  <si>
    <t>InitConfig</t>
    <phoneticPr fontId="1"/>
  </si>
  <si>
    <t>クラスのフィールド</t>
    <phoneticPr fontId="1"/>
  </si>
  <si>
    <t>キャメルケース + _(アンダーバー)</t>
    <phoneticPr fontId="1"/>
  </si>
  <si>
    <t>tableName_</t>
    <phoneticPr fontId="1"/>
  </si>
  <si>
    <t>モジュール名称</t>
    <rPh sb="5" eb="7">
      <t>メイショウ</t>
    </rPh>
    <phoneticPr fontId="1"/>
  </si>
  <si>
    <t>メイン処理</t>
    <rPh sb="3" eb="5">
      <t>ショリ</t>
    </rPh>
    <phoneticPr fontId="1"/>
  </si>
  <si>
    <t>Main+○○</t>
    <phoneticPr fontId="1"/>
  </si>
  <si>
    <t>Main、MainUpdateData</t>
    <phoneticPr fontId="1"/>
  </si>
  <si>
    <t>ヘルパーモジュール</t>
    <phoneticPr fontId="1"/>
  </si>
  <si>
    <t>Helper+○○</t>
    <phoneticPr fontId="1"/>
  </si>
  <si>
    <t>HelperApplication</t>
    <phoneticPr fontId="1"/>
  </si>
  <si>
    <t>汎用モジュール</t>
    <rPh sb="0" eb="2">
      <t>ハンヨウ</t>
    </rPh>
    <phoneticPr fontId="1"/>
  </si>
  <si>
    <t>Module+○○</t>
    <phoneticPr fontId="1"/>
  </si>
  <si>
    <t>ModuleSqlOracle</t>
    <phoneticPr fontId="1"/>
  </si>
  <si>
    <t>DB接続クラス</t>
    <rPh sb="2" eb="4">
      <t>セツゾク</t>
    </rPh>
    <phoneticPr fontId="1"/>
  </si>
  <si>
    <t>Dao+○○</t>
    <phoneticPr fontId="1"/>
  </si>
  <si>
    <t>DaoOracleOra</t>
    <phoneticPr fontId="1"/>
  </si>
  <si>
    <t>既存クラス拡張クラス</t>
    <rPh sb="0" eb="2">
      <t>キゾン</t>
    </rPh>
    <rPh sb="5" eb="7">
      <t>カクチョウ</t>
    </rPh>
    <phoneticPr fontId="1"/>
  </si>
  <si>
    <t>Ex+○○</t>
    <phoneticPr fontId="1"/>
  </si>
  <si>
    <t>ExListObject</t>
    <phoneticPr fontId="1"/>
  </si>
  <si>
    <t>ver</t>
    <phoneticPr fontId="1"/>
  </si>
  <si>
    <t>内容</t>
    <rPh sb="0" eb="2">
      <t>ナイヨウ</t>
    </rPh>
    <phoneticPr fontId="1"/>
  </si>
  <si>
    <t>日付</t>
    <rPh sb="0" eb="2">
      <t>ヒヅケ</t>
    </rPh>
    <phoneticPr fontId="1"/>
  </si>
  <si>
    <t>SAMPLE_VALUE</t>
  </si>
  <si>
    <t>SAMPLE_DATE</t>
  </si>
  <si>
    <t>SAMPLE_FLAG</t>
  </si>
  <si>
    <t>SAMPLE_CODE</t>
  </si>
  <si>
    <t>aaaa</t>
  </si>
  <si>
    <t>bbb</t>
  </si>
  <si>
    <t>aaaaa</t>
  </si>
  <si>
    <t>001</t>
  </si>
  <si>
    <t>002</t>
  </si>
  <si>
    <t>003</t>
  </si>
  <si>
    <t>004</t>
  </si>
  <si>
    <t>005</t>
  </si>
  <si>
    <t>006</t>
  </si>
  <si>
    <t>007</t>
  </si>
  <si>
    <t>Sample2</t>
    <phoneticPr fontId="1"/>
  </si>
  <si>
    <t>sample2_tbl1</t>
    <phoneticPr fontId="1"/>
  </si>
  <si>
    <t>更新ボタン</t>
    <rPh sb="0" eb="2">
      <t>コウシン</t>
    </rPh>
    <phoneticPr fontId="1"/>
  </si>
  <si>
    <t>OracleDBからデータ取得</t>
    <rPh sb="13" eb="15">
      <t>シュトク</t>
    </rPh>
    <phoneticPr fontId="1"/>
  </si>
  <si>
    <t>OracleDBのデータ変更</t>
    <rPh sb="12" eb="14">
      <t>ヘンコウ</t>
    </rPh>
    <phoneticPr fontId="1"/>
  </si>
  <si>
    <t>abc</t>
    <phoneticPr fontId="1"/>
  </si>
  <si>
    <t>済</t>
    <rPh sb="0" eb="1">
      <t>スミ</t>
    </rPh>
    <phoneticPr fontId="1"/>
  </si>
  <si>
    <t>テーブルの全レコードをSaveするメソッドを追加</t>
    <rPh sb="5" eb="6">
      <t>ゼン</t>
    </rPh>
    <rPh sb="22" eb="24">
      <t>ツイカ</t>
    </rPh>
    <phoneticPr fontId="1"/>
  </si>
  <si>
    <t>2.0.2</t>
    <phoneticPr fontId="1"/>
  </si>
  <si>
    <t>OracleDao処理にINSERT、UPDATE、DELETE処理を追加</t>
    <rPh sb="9" eb="11">
      <t>ショリ</t>
    </rPh>
    <rPh sb="32" eb="34">
      <t>ショリ</t>
    </rPh>
    <rPh sb="35" eb="37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</si>
</sst>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FF0000"/>
      <name val="Meiryo UI"/>
      <family val="2"/>
      <charset val="128"/>
    </font>
    <font>
      <u/>
      <sz val="14"/>
      <color theme="1"/>
      <name val="Meiryo UI"/>
      <family val="2"/>
      <charset val="128"/>
    </font>
    <font>
      <sz val="11"/>
      <color rgb="FFFF0000"/>
      <name val="Meiryo UI"/>
      <family val="3"/>
      <charset val="128"/>
    </font>
    <font>
      <u/>
      <sz val="11"/>
      <color theme="10"/>
      <name val="Meiryo UI"/>
      <family val="2"/>
      <charset val="128"/>
    </font>
    <font>
      <sz val="11"/>
      <color rgb="FF00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2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5" fillId="0" borderId="0" xfId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20"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19" formatCode="yyyy/m/d"/>
    </dxf>
    <dxf>
      <numFmt numFmtId="19" formatCode="yyyy/m/d"/>
    </dxf>
    <dxf>
      <numFmt numFmtId="0" formatCode="General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364671</xdr:colOff>
          <xdr:row>1</xdr:row>
          <xdr:rowOff>10886</xdr:rowOff>
        </xdr:from>
        <xdr:to>
          <xdr:col>5</xdr:col>
          <xdr:colOff>0</xdr:colOff>
          <xdr:row>3</xdr:row>
          <xdr:rowOff>32657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接続テスト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500743</xdr:colOff>
          <xdr:row>0</xdr:row>
          <xdr:rowOff>174171</xdr:rowOff>
        </xdr:from>
        <xdr:to>
          <xdr:col>6</xdr:col>
          <xdr:colOff>59872</xdr:colOff>
          <xdr:row>3</xdr:row>
          <xdr:rowOff>5442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00C524-F6B9-4915-B627-DA53DC192710}" name="sample1_tbl1" displayName="sample1_tbl1" ref="B4:H7" totalsRowShown="0">
  <autoFilter ref="B4:H7" xr:uid="{7400C524-F6B9-4915-B627-DA53DC192710}"/>
  <tableColumns count="7">
    <tableColumn id="1" xr3:uid="{9E79AE5A-A925-4311-9547-4B326B93C786}" name="SAMPLE_ID"/>
    <tableColumn id="2" xr3:uid="{EC2C3B7C-4417-4C0F-8A9F-BC0416923C34}" name="SAMPLE_TEXT"/>
    <tableColumn id="3" xr3:uid="{51E394DC-5D94-4649-96DA-E774C9B136B0}" name="SAMPLE_COMBOBOX_TEXT" dataDxfId="19"/>
    <tableColumn id="4" xr3:uid="{4F3EAB05-CF38-40F4-97D2-FF82AFE6B4B6}" name="SAMPLE_VALUE"/>
    <tableColumn id="5" xr3:uid="{790D8F86-BEE1-48AC-A2D1-3C7DC641F078}" name="SAMPLE_DATE"/>
    <tableColumn id="6" xr3:uid="{1867B1C3-62A8-4E58-AABD-1E5499A17DAD}" name="SAMPLE_FLAG" dataDxfId="18"/>
    <tableColumn id="7" xr3:uid="{14FD9F1C-EA29-4FE1-8CEA-3D5A89587FB5}" name="SAMPLE_CODE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A6496E-6D6F-4E0E-BD4B-A133ADCC2725}" name="sample1_tbl2" displayName="sample1_tbl2" ref="K4:M17" totalsRowShown="0">
  <autoFilter ref="K4:M17" xr:uid="{90A6496E-6D6F-4E0E-BD4B-A133ADCC2725}"/>
  <tableColumns count="3">
    <tableColumn id="1" xr3:uid="{0442B176-A495-4E3C-AF02-693FF85EBD5E}" name="SAMPLE_CODE"/>
    <tableColumn id="2" xr3:uid="{0415FA76-958B-4C3C-9830-6720FC005CB4}" name="SAMPLE_CODE_NAME"/>
    <tableColumn id="3" xr3:uid="{55178E46-5AA4-41B6-BDD3-06BA1C1C9143}" name="コード&amp;名称" dataDxfId="16">
      <calculatedColumnFormula>sample1_tbl2[[#This Row],[SAMPLE_CODE]]&amp;"-"&amp;sample1_tbl2[[#This Row],[SAMPLE_CODE_NAME]]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151265-C606-461F-BA21-16E786BB3663}" name="sample2_tbl1" displayName="sample2_tbl1" ref="A3:H6" totalsRowShown="0">
  <autoFilter ref="A3:H6" xr:uid="{D1151265-C606-461F-BA21-16E786BB3663}"/>
  <tableColumns count="8">
    <tableColumn id="1" xr3:uid="{C983D358-6A7D-46D7-9752-CF8A1F07E863}" name="SAMPLE_ID"/>
    <tableColumn id="2" xr3:uid="{5F75E94F-FD28-42A4-BABB-B0945A9D572F}" name="SAMPLE_TEXT"/>
    <tableColumn id="3" xr3:uid="{E3E23A24-9162-487E-B68B-FB758FA73D0C}" name="SAMPLE_COMBOBOX_TEXT" dataDxfId="1"/>
    <tableColumn id="4" xr3:uid="{18DB6756-9009-41B9-BB44-6C05AFC86F09}" name="SAMPLE_VALUE"/>
    <tableColumn id="5" xr3:uid="{0DF17DE6-973C-4E3E-B415-37E599852AD0}" name="SAMPLE_DATE"/>
    <tableColumn id="6" xr3:uid="{DE24536A-9A11-46D9-9ECD-E8534D596393}" name="SAMPLE_FLAG"/>
    <tableColumn id="7" xr3:uid="{62BF5C04-D1CD-44A0-B421-0363EC654BE7}" name="SAMPLE_CODE"/>
    <tableColumn id="8" xr3:uid="{D6122B93-C131-4C68-A77E-FC5860B68FC4}" name="更新ボタン" dataDxfId="0">
      <calculatedColumnFormula>"▶"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1B310-FB3A-4F90-B4C6-E8A31659A52B}" name="config" displayName="config" ref="A1:C4" totalsRowShown="0" headerRowDxfId="15" headerRowBorderDxfId="14" tableBorderDxfId="13" totalsRowBorderDxfId="12">
  <autoFilter ref="A1:C4" xr:uid="{BE31B310-FB3A-4F90-B4C6-E8A31659A52B}"/>
  <tableColumns count="3">
    <tableColumn id="1" xr3:uid="{19FC6851-C649-495C-A2D0-4E9ED793C013}" name="Key" dataDxfId="11"/>
    <tableColumn id="2" xr3:uid="{61932341-027D-4FD9-8B22-47C6142A7A3C}" name="Item" dataDxfId="10"/>
    <tableColumn id="3" xr3:uid="{09A726A5-E334-46A2-ADEA-65A6A5B2F26C}" name="説明" dataDxfId="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7DEBEC-EF9B-4346-9A3C-4CD3645A0719}" name="sql" displayName="sql" ref="A1:D4" totalsRowShown="0" headerRowBorderDxfId="8" tableBorderDxfId="7" totalsRowBorderDxfId="6">
  <autoFilter ref="A1:D4" xr:uid="{B57DEBEC-EF9B-4346-9A3C-4CD3645A0719}"/>
  <tableColumns count="4">
    <tableColumn id="1" xr3:uid="{A043A5CB-90EA-476D-91E7-FBEEB390784A}" name="Sheet" dataDxfId="5"/>
    <tableColumn id="2" xr3:uid="{B48FE914-6DDD-429B-9E1D-E9FB7C3E6B8C}" name="Table" dataDxfId="4"/>
    <tableColumn id="3" xr3:uid="{27B205D7-FDAA-45A9-969A-4E6A129F7DCD}" name="SQL" dataDxfId="3"/>
    <tableColumn id="4" xr3:uid="{3C06CD90-BF44-42F4-8964-C38B45309D1C}" name="説明" dataDxfId="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C5BC923-4A98-41E5-94B3-6C85E1A17B2C}" name="rules" displayName="rules" ref="B4:F13" totalsRowShown="0">
  <autoFilter ref="B4:F13" xr:uid="{6C5BC923-4A98-41E5-94B3-6C85E1A17B2C}"/>
  <tableColumns count="5">
    <tableColumn id="1" xr3:uid="{4C06795E-F3EF-408A-88EC-1FA1E99360AF}" name="大項目"/>
    <tableColumn id="5" xr3:uid="{4DD2E93F-93B9-4428-9B8D-B4037C2C6F07}" name="項目"/>
    <tableColumn id="2" xr3:uid="{A612DCB6-C05C-49C3-BC0F-217779101F70}" name="規則"/>
    <tableColumn id="3" xr3:uid="{CF450ACB-FD86-48F8-8F50-3CA96D440069}" name="例"/>
    <tableColumn id="6" xr3:uid="{BC7ECAE7-3EA5-49F5-A8E0-C3DA1358808C}" name="備考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6F70-9571-4448-94E5-1202B6D356CF}">
  <sheetPr codeName="Sheet2"/>
  <dimension ref="A1:M17"/>
  <sheetViews>
    <sheetView zoomScale="85" zoomScaleNormal="85" workbookViewId="0">
      <selection activeCell="A2" sqref="A2"/>
    </sheetView>
  </sheetViews>
  <sheetFormatPr defaultRowHeight="15.45" x14ac:dyDescent="0.4"/>
  <cols>
    <col min="1" max="1" width="2.5625" customWidth="1"/>
    <col min="2" max="2" width="13.375" bestFit="1" customWidth="1"/>
    <col min="3" max="3" width="15.875" bestFit="1" customWidth="1"/>
    <col min="4" max="4" width="27.8125" bestFit="1" customWidth="1"/>
    <col min="5" max="5" width="17.0625" bestFit="1" customWidth="1"/>
    <col min="6" max="6" width="15.9375" bestFit="1" customWidth="1"/>
    <col min="7" max="7" width="15.875" bestFit="1" customWidth="1"/>
    <col min="8" max="8" width="16.1875" bestFit="1" customWidth="1"/>
    <col min="9" max="10" width="2.5625" customWidth="1"/>
    <col min="11" max="11" width="16.1875" bestFit="1" customWidth="1"/>
    <col min="12" max="12" width="22.625" bestFit="1" customWidth="1"/>
    <col min="13" max="13" width="11.6875" bestFit="1" customWidth="1"/>
  </cols>
  <sheetData>
    <row r="1" spans="1:13" x14ac:dyDescent="0.4">
      <c r="A1" t="s">
        <v>98</v>
      </c>
    </row>
    <row r="3" spans="1:13" x14ac:dyDescent="0.4">
      <c r="B3" t="s">
        <v>33</v>
      </c>
      <c r="K3" t="s">
        <v>34</v>
      </c>
    </row>
    <row r="4" spans="1:13" x14ac:dyDescent="0.4">
      <c r="B4" t="s">
        <v>36</v>
      </c>
      <c r="C4" t="s">
        <v>37</v>
      </c>
      <c r="D4" t="s">
        <v>38</v>
      </c>
      <c r="E4" t="s">
        <v>45</v>
      </c>
      <c r="F4" t="s">
        <v>46</v>
      </c>
      <c r="G4" t="s">
        <v>39</v>
      </c>
      <c r="H4" t="s">
        <v>23</v>
      </c>
      <c r="K4" t="s">
        <v>23</v>
      </c>
      <c r="L4" t="s">
        <v>24</v>
      </c>
      <c r="M4" t="s">
        <v>35</v>
      </c>
    </row>
    <row r="5" spans="1:13" x14ac:dyDescent="0.4">
      <c r="B5">
        <v>3</v>
      </c>
      <c r="C5" t="s">
        <v>40</v>
      </c>
      <c r="D5" s="15"/>
      <c r="E5">
        <v>12</v>
      </c>
      <c r="F5" s="14">
        <v>44873</v>
      </c>
      <c r="G5" s="14"/>
      <c r="H5" s="14"/>
      <c r="I5" s="14"/>
      <c r="J5" s="14"/>
      <c r="K5" t="s">
        <v>85</v>
      </c>
      <c r="L5" t="s">
        <v>86</v>
      </c>
      <c r="M5" s="15" t="str">
        <f>sample1_tbl2[[#This Row],[SAMPLE_CODE]]&amp;"-"&amp;sample1_tbl2[[#This Row],[SAMPLE_CODE_NAME]]</f>
        <v>aaaa-bbb</v>
      </c>
    </row>
    <row r="6" spans="1:13" x14ac:dyDescent="0.4">
      <c r="B6">
        <v>1</v>
      </c>
      <c r="C6" t="s">
        <v>41</v>
      </c>
      <c r="D6" s="15" t="s">
        <v>42</v>
      </c>
      <c r="E6">
        <v>123</v>
      </c>
      <c r="F6" s="14"/>
      <c r="G6" s="14">
        <v>0</v>
      </c>
      <c r="H6" s="14"/>
      <c r="I6" s="14"/>
      <c r="J6" s="14"/>
      <c r="K6" t="s">
        <v>87</v>
      </c>
      <c r="L6" t="s">
        <v>86</v>
      </c>
      <c r="M6" s="15" t="str">
        <f>sample1_tbl2[[#This Row],[SAMPLE_CODE]]&amp;"-"&amp;sample1_tbl2[[#This Row],[SAMPLE_CODE_NAME]]</f>
        <v>aaaaa-bbb</v>
      </c>
    </row>
    <row r="7" spans="1:13" x14ac:dyDescent="0.4">
      <c r="B7">
        <v>2</v>
      </c>
      <c r="C7" t="s">
        <v>43</v>
      </c>
      <c r="D7" s="15" t="s">
        <v>44</v>
      </c>
      <c r="E7">
        <v>123</v>
      </c>
      <c r="F7" s="14">
        <v>44857</v>
      </c>
      <c r="G7" s="14">
        <v>0</v>
      </c>
      <c r="H7" s="14" t="s">
        <v>1</v>
      </c>
      <c r="I7" s="14"/>
      <c r="J7" s="14"/>
      <c r="K7" t="s">
        <v>88</v>
      </c>
      <c r="L7" t="s">
        <v>40</v>
      </c>
      <c r="M7" s="15" t="str">
        <f>sample1_tbl2[[#This Row],[SAMPLE_CODE]]&amp;"-"&amp;sample1_tbl2[[#This Row],[SAMPLE_CODE_NAME]]</f>
        <v>001-aaa</v>
      </c>
    </row>
    <row r="8" spans="1:13" x14ac:dyDescent="0.4">
      <c r="K8" t="s">
        <v>89</v>
      </c>
      <c r="L8" t="s">
        <v>40</v>
      </c>
      <c r="M8" s="15" t="str">
        <f>sample1_tbl2[[#This Row],[SAMPLE_CODE]]&amp;"-"&amp;sample1_tbl2[[#This Row],[SAMPLE_CODE_NAME]]</f>
        <v>002-aaa</v>
      </c>
    </row>
    <row r="9" spans="1:13" x14ac:dyDescent="0.4">
      <c r="K9" t="s">
        <v>90</v>
      </c>
      <c r="L9" t="s">
        <v>40</v>
      </c>
      <c r="M9" s="15" t="str">
        <f>sample1_tbl2[[#This Row],[SAMPLE_CODE]]&amp;"-"&amp;sample1_tbl2[[#This Row],[SAMPLE_CODE_NAME]]</f>
        <v>003-aaa</v>
      </c>
    </row>
    <row r="10" spans="1:13" x14ac:dyDescent="0.4">
      <c r="K10" t="s">
        <v>91</v>
      </c>
      <c r="L10" t="s">
        <v>40</v>
      </c>
      <c r="M10" s="15" t="str">
        <f>sample1_tbl2[[#This Row],[SAMPLE_CODE]]&amp;"-"&amp;sample1_tbl2[[#This Row],[SAMPLE_CODE_NAME]]</f>
        <v>004-aaa</v>
      </c>
    </row>
    <row r="11" spans="1:13" x14ac:dyDescent="0.4">
      <c r="K11" t="s">
        <v>92</v>
      </c>
      <c r="L11" t="s">
        <v>40</v>
      </c>
      <c r="M11" s="15" t="str">
        <f>sample1_tbl2[[#This Row],[SAMPLE_CODE]]&amp;"-"&amp;sample1_tbl2[[#This Row],[SAMPLE_CODE_NAME]]</f>
        <v>005-aaa</v>
      </c>
    </row>
    <row r="12" spans="1:13" x14ac:dyDescent="0.4">
      <c r="K12" t="s">
        <v>93</v>
      </c>
      <c r="L12" t="s">
        <v>40</v>
      </c>
      <c r="M12" s="15" t="str">
        <f>sample1_tbl2[[#This Row],[SAMPLE_CODE]]&amp;"-"&amp;sample1_tbl2[[#This Row],[SAMPLE_CODE_NAME]]</f>
        <v>006-aaa</v>
      </c>
    </row>
    <row r="13" spans="1:13" x14ac:dyDescent="0.4">
      <c r="K13" t="s">
        <v>94</v>
      </c>
      <c r="L13" t="s">
        <v>40</v>
      </c>
      <c r="M13" s="15" t="str">
        <f>sample1_tbl2[[#This Row],[SAMPLE_CODE]]&amp;"-"&amp;sample1_tbl2[[#This Row],[SAMPLE_CODE_NAME]]</f>
        <v>007-aaa</v>
      </c>
    </row>
    <row r="14" spans="1:13" x14ac:dyDescent="0.4">
      <c r="K14" t="s">
        <v>1</v>
      </c>
      <c r="L14" t="s">
        <v>2</v>
      </c>
      <c r="M14" s="15" t="str">
        <f>sample1_tbl2[[#This Row],[SAMPLE_CODE]]&amp;"-"&amp;sample1_tbl2[[#This Row],[SAMPLE_CODE_NAME]]</f>
        <v>A-太陽</v>
      </c>
    </row>
    <row r="15" spans="1:13" x14ac:dyDescent="0.4">
      <c r="K15" t="s">
        <v>3</v>
      </c>
      <c r="L15" t="s">
        <v>4</v>
      </c>
      <c r="M15" s="15" t="str">
        <f>sample1_tbl2[[#This Row],[SAMPLE_CODE]]&amp;"-"&amp;sample1_tbl2[[#This Row],[SAMPLE_CODE_NAME]]</f>
        <v>B-月</v>
      </c>
    </row>
    <row r="16" spans="1:13" x14ac:dyDescent="0.4">
      <c r="K16" t="s">
        <v>5</v>
      </c>
      <c r="L16" t="s">
        <v>6</v>
      </c>
      <c r="M16" s="15" t="str">
        <f>sample1_tbl2[[#This Row],[SAMPLE_CODE]]&amp;"-"&amp;sample1_tbl2[[#This Row],[SAMPLE_CODE_NAME]]</f>
        <v>C-地球</v>
      </c>
    </row>
    <row r="17" spans="11:13" x14ac:dyDescent="0.4">
      <c r="K17" t="s">
        <v>40</v>
      </c>
      <c r="L17" t="s">
        <v>86</v>
      </c>
      <c r="M17" s="15" t="str">
        <f>sample1_tbl2[[#This Row],[SAMPLE_CODE]]&amp;"-"&amp;sample1_tbl2[[#This Row],[SAMPLE_CODE_NAME]]</f>
        <v>aaa-bbb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C0B8E-3085-47AA-A2E1-5F52410E747B}">
  <sheetPr codeName="Sheet9"/>
  <dimension ref="A1:H6"/>
  <sheetViews>
    <sheetView workbookViewId="0">
      <selection activeCell="C11" sqref="C11"/>
    </sheetView>
  </sheetViews>
  <sheetFormatPr defaultRowHeight="15.45" x14ac:dyDescent="0.4"/>
  <cols>
    <col min="1" max="1" width="16.125" bestFit="1" customWidth="1"/>
    <col min="2" max="2" width="22.625" bestFit="1" customWidth="1"/>
    <col min="3" max="3" width="27.5" bestFit="1" customWidth="1"/>
    <col min="4" max="4" width="17.0625" bestFit="1" customWidth="1"/>
    <col min="5" max="5" width="15.9375" bestFit="1" customWidth="1"/>
    <col min="6" max="6" width="15.6875" bestFit="1" customWidth="1"/>
    <col min="7" max="7" width="16.125" bestFit="1" customWidth="1"/>
  </cols>
  <sheetData>
    <row r="1" spans="1:8" x14ac:dyDescent="0.4">
      <c r="A1" t="s">
        <v>99</v>
      </c>
    </row>
    <row r="3" spans="1:8" x14ac:dyDescent="0.4">
      <c r="A3" t="s">
        <v>36</v>
      </c>
      <c r="B3" t="s">
        <v>37</v>
      </c>
      <c r="C3" t="s">
        <v>38</v>
      </c>
      <c r="D3" t="s">
        <v>81</v>
      </c>
      <c r="E3" t="s">
        <v>82</v>
      </c>
      <c r="F3" t="s">
        <v>83</v>
      </c>
      <c r="G3" t="s">
        <v>84</v>
      </c>
      <c r="H3" t="s">
        <v>97</v>
      </c>
    </row>
    <row r="4" spans="1:8" x14ac:dyDescent="0.4">
      <c r="A4">
        <v>3</v>
      </c>
      <c r="B4" t="s">
        <v>100</v>
      </c>
      <c r="C4" s="15"/>
      <c r="D4">
        <v>12</v>
      </c>
      <c r="E4" s="14">
        <v>44873</v>
      </c>
      <c r="F4" s="14"/>
      <c r="G4" s="14" t="s">
        <v>25</v>
      </c>
      <c r="H4" t="str">
        <f t="shared" ref="H4:H6" si="0">"▶"</f>
        <v>▶</v>
      </c>
    </row>
    <row r="5" spans="1:8" x14ac:dyDescent="0.4">
      <c r="A5">
        <v>1</v>
      </c>
      <c r="B5" t="s">
        <v>41</v>
      </c>
      <c r="C5" s="15" t="s">
        <v>42</v>
      </c>
      <c r="D5">
        <v>123</v>
      </c>
      <c r="E5" s="14"/>
      <c r="F5" s="14">
        <v>0</v>
      </c>
      <c r="G5" s="14"/>
      <c r="H5" t="str">
        <f t="shared" si="0"/>
        <v>▶</v>
      </c>
    </row>
    <row r="6" spans="1:8" x14ac:dyDescent="0.4">
      <c r="A6">
        <v>2</v>
      </c>
      <c r="B6" t="s">
        <v>43</v>
      </c>
      <c r="C6" s="15" t="s">
        <v>44</v>
      </c>
      <c r="D6">
        <v>123</v>
      </c>
      <c r="E6" s="14">
        <v>44857</v>
      </c>
      <c r="F6" s="14">
        <v>0</v>
      </c>
      <c r="G6" s="14" t="s">
        <v>1</v>
      </c>
      <c r="H6" t="str">
        <f t="shared" si="0"/>
        <v>▶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1989-DCEF-4C3A-B19E-AF5937112811}">
  <sheetPr codeName="Sheet4">
    <tabColor theme="0" tint="-0.499984740745262"/>
  </sheetPr>
  <dimension ref="A1"/>
  <sheetViews>
    <sheetView workbookViewId="0"/>
  </sheetViews>
  <sheetFormatPr defaultRowHeight="15.4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BD6D3-5A3D-4AE2-82B2-134C4E18E23C}">
  <sheetPr codeName="Sheet3"/>
  <dimension ref="A1:C4"/>
  <sheetViews>
    <sheetView workbookViewId="0">
      <selection activeCell="F15" sqref="F15"/>
    </sheetView>
  </sheetViews>
  <sheetFormatPr defaultRowHeight="15.45" x14ac:dyDescent="0.4"/>
  <cols>
    <col min="1" max="1" width="19.375" customWidth="1"/>
    <col min="3" max="3" width="22.0625" customWidth="1"/>
  </cols>
  <sheetData>
    <row r="1" spans="1:3" x14ac:dyDescent="0.4">
      <c r="A1" s="9" t="s">
        <v>11</v>
      </c>
      <c r="B1" s="10" t="s">
        <v>12</v>
      </c>
      <c r="C1" s="4" t="s">
        <v>10</v>
      </c>
    </row>
    <row r="2" spans="1:3" x14ac:dyDescent="0.4">
      <c r="A2" s="5" t="s">
        <v>13</v>
      </c>
      <c r="B2" s="6" t="s">
        <v>16</v>
      </c>
      <c r="C2" s="2" t="s">
        <v>18</v>
      </c>
    </row>
    <row r="3" spans="1:3" x14ac:dyDescent="0.4">
      <c r="A3" s="5" t="s">
        <v>14</v>
      </c>
      <c r="B3" s="6" t="s">
        <v>17</v>
      </c>
      <c r="C3" s="2" t="s">
        <v>19</v>
      </c>
    </row>
    <row r="4" spans="1:3" x14ac:dyDescent="0.4">
      <c r="A4" s="7" t="s">
        <v>15</v>
      </c>
      <c r="B4" s="8" t="s">
        <v>17</v>
      </c>
      <c r="C4" s="3" t="s">
        <v>20</v>
      </c>
    </row>
  </sheetData>
  <phoneticPr fontId="1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estOpenConnectionOracleOra">
                <anchor moveWithCells="1" sizeWithCells="1">
                  <from>
                    <xdr:col>3</xdr:col>
                    <xdr:colOff>364671</xdr:colOff>
                    <xdr:row>1</xdr:row>
                    <xdr:rowOff>10886</xdr:rowOff>
                  </from>
                  <to>
                    <xdr:col>5</xdr:col>
                    <xdr:colOff>0</xdr:colOff>
                    <xdr:row>3</xdr:row>
                    <xdr:rowOff>32657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A945-9BFF-44DA-AAE7-36383633859C}">
  <sheetPr codeName="Sheet5"/>
  <dimension ref="A1:D4"/>
  <sheetViews>
    <sheetView workbookViewId="0">
      <selection activeCell="C4" sqref="C4"/>
    </sheetView>
  </sheetViews>
  <sheetFormatPr defaultRowHeight="15.45" x14ac:dyDescent="0.4"/>
  <cols>
    <col min="2" max="2" width="14.4375" customWidth="1"/>
    <col min="3" max="3" width="29.5625" customWidth="1"/>
    <col min="4" max="4" width="27.6875" customWidth="1"/>
  </cols>
  <sheetData>
    <row r="1" spans="1:4" x14ac:dyDescent="0.4">
      <c r="A1" s="9" t="s">
        <v>8</v>
      </c>
      <c r="B1" s="10" t="s">
        <v>9</v>
      </c>
      <c r="C1" s="10" t="s">
        <v>7</v>
      </c>
      <c r="D1" s="4" t="s">
        <v>10</v>
      </c>
    </row>
    <row r="2" spans="1:4" x14ac:dyDescent="0.4">
      <c r="A2" s="5" t="s">
        <v>32</v>
      </c>
      <c r="B2" s="6" t="s">
        <v>33</v>
      </c>
      <c r="C2" s="6" t="s">
        <v>21</v>
      </c>
      <c r="D2" s="2"/>
    </row>
    <row r="3" spans="1:4" x14ac:dyDescent="0.4">
      <c r="A3" s="5" t="s">
        <v>32</v>
      </c>
      <c r="B3" s="6" t="s">
        <v>34</v>
      </c>
      <c r="C3" s="8" t="s">
        <v>22</v>
      </c>
      <c r="D3" s="3"/>
    </row>
    <row r="4" spans="1:4" x14ac:dyDescent="0.4">
      <c r="A4" s="7" t="s">
        <v>95</v>
      </c>
      <c r="B4" s="8" t="s">
        <v>96</v>
      </c>
      <c r="C4" s="6" t="s">
        <v>21</v>
      </c>
      <c r="D4" s="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QueriesOracleOra">
                <anchor moveWithCells="1" sizeWithCells="1">
                  <from>
                    <xdr:col>4</xdr:col>
                    <xdr:colOff>500743</xdr:colOff>
                    <xdr:row>0</xdr:row>
                    <xdr:rowOff>174171</xdr:rowOff>
                  </from>
                  <to>
                    <xdr:col>6</xdr:col>
                    <xdr:colOff>59871</xdr:colOff>
                    <xdr:row>3</xdr:row>
                    <xdr:rowOff>5443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4331D-1D87-4DEE-BEAC-CAF5909FC6DE}">
  <sheetPr codeName="Sheet7">
    <tabColor theme="0" tint="-0.499984740745262"/>
  </sheetPr>
  <dimension ref="A1"/>
  <sheetViews>
    <sheetView workbookViewId="0">
      <selection activeCell="F32" sqref="F32"/>
    </sheetView>
  </sheetViews>
  <sheetFormatPr defaultRowHeight="15.45" x14ac:dyDescent="0.4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FB08-6F14-4F9B-B964-9D95B2AF5C40}">
  <sheetPr codeName="Sheet8"/>
  <dimension ref="A1:C2"/>
  <sheetViews>
    <sheetView tabSelected="1" workbookViewId="0"/>
  </sheetViews>
  <sheetFormatPr defaultRowHeight="15.45" x14ac:dyDescent="0.4"/>
  <cols>
    <col min="2" max="2" width="43.75" bestFit="1" customWidth="1"/>
    <col min="3" max="3" width="10.5625" bestFit="1" customWidth="1"/>
  </cols>
  <sheetData>
    <row r="1" spans="1:3" x14ac:dyDescent="0.4">
      <c r="A1" t="s">
        <v>78</v>
      </c>
      <c r="B1" t="s">
        <v>79</v>
      </c>
      <c r="C1" t="s">
        <v>80</v>
      </c>
    </row>
    <row r="2" spans="1:3" x14ac:dyDescent="0.4">
      <c r="A2" t="s">
        <v>103</v>
      </c>
      <c r="B2" t="s">
        <v>104</v>
      </c>
      <c r="C2" s="14">
        <v>44920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C221-CA1C-42E9-9497-3B10B00C2668}">
  <sheetPr codeName="Sheet1"/>
  <dimension ref="A1:F13"/>
  <sheetViews>
    <sheetView zoomScale="85" zoomScaleNormal="85" workbookViewId="0"/>
  </sheetViews>
  <sheetFormatPr defaultRowHeight="15.45" x14ac:dyDescent="0.4"/>
  <cols>
    <col min="1" max="1" width="2.5625" customWidth="1"/>
    <col min="2" max="2" width="16.0625" customWidth="1"/>
    <col min="3" max="3" width="19.8125" bestFit="1" customWidth="1"/>
    <col min="4" max="4" width="26.5625" customWidth="1"/>
    <col min="5" max="5" width="33.5625" customWidth="1"/>
    <col min="6" max="6" width="35.25" customWidth="1"/>
  </cols>
  <sheetData>
    <row r="1" spans="1:6" ht="19.3" x14ac:dyDescent="0.4">
      <c r="A1" s="1" t="s">
        <v>0</v>
      </c>
    </row>
    <row r="2" spans="1:6" x14ac:dyDescent="0.4">
      <c r="F2" s="13" t="s">
        <v>31</v>
      </c>
    </row>
    <row r="4" spans="1:6" x14ac:dyDescent="0.4">
      <c r="B4" t="s">
        <v>26</v>
      </c>
      <c r="C4" t="s">
        <v>27</v>
      </c>
      <c r="D4" t="s">
        <v>28</v>
      </c>
      <c r="E4" t="s">
        <v>29</v>
      </c>
      <c r="F4" t="s">
        <v>30</v>
      </c>
    </row>
    <row r="5" spans="1:6" x14ac:dyDescent="0.4">
      <c r="B5" t="s">
        <v>49</v>
      </c>
      <c r="C5" t="s">
        <v>50</v>
      </c>
      <c r="D5" t="s">
        <v>51</v>
      </c>
      <c r="E5" t="s">
        <v>52</v>
      </c>
      <c r="F5" s="11"/>
    </row>
    <row r="6" spans="1:6" x14ac:dyDescent="0.4">
      <c r="B6" t="s">
        <v>49</v>
      </c>
      <c r="C6" t="s">
        <v>53</v>
      </c>
      <c r="D6" s="12" t="s">
        <v>54</v>
      </c>
      <c r="E6" s="12" t="s">
        <v>55</v>
      </c>
    </row>
    <row r="7" spans="1:6" x14ac:dyDescent="0.4">
      <c r="B7" t="s">
        <v>49</v>
      </c>
      <c r="C7" t="s">
        <v>56</v>
      </c>
      <c r="D7" t="s">
        <v>57</v>
      </c>
      <c r="E7" s="12" t="s">
        <v>58</v>
      </c>
    </row>
    <row r="8" spans="1:6" x14ac:dyDescent="0.4">
      <c r="B8" t="s">
        <v>49</v>
      </c>
      <c r="C8" t="s">
        <v>59</v>
      </c>
      <c r="D8" s="12" t="s">
        <v>60</v>
      </c>
      <c r="E8" s="12" t="s">
        <v>61</v>
      </c>
    </row>
    <row r="9" spans="1:6" x14ac:dyDescent="0.4">
      <c r="B9" t="s">
        <v>62</v>
      </c>
      <c r="C9" t="s">
        <v>63</v>
      </c>
      <c r="D9" t="s">
        <v>64</v>
      </c>
      <c r="E9" t="s">
        <v>65</v>
      </c>
    </row>
    <row r="10" spans="1:6" x14ac:dyDescent="0.4">
      <c r="B10" t="s">
        <v>62</v>
      </c>
      <c r="C10" t="s">
        <v>66</v>
      </c>
      <c r="D10" t="s">
        <v>67</v>
      </c>
      <c r="E10" t="s">
        <v>68</v>
      </c>
    </row>
    <row r="11" spans="1:6" x14ac:dyDescent="0.4">
      <c r="B11" t="s">
        <v>62</v>
      </c>
      <c r="C11" t="s">
        <v>69</v>
      </c>
      <c r="D11" t="s">
        <v>70</v>
      </c>
      <c r="E11" t="s">
        <v>71</v>
      </c>
    </row>
    <row r="12" spans="1:6" x14ac:dyDescent="0.4">
      <c r="B12" t="s">
        <v>62</v>
      </c>
      <c r="C12" t="s">
        <v>72</v>
      </c>
      <c r="D12" t="s">
        <v>73</v>
      </c>
      <c r="E12" t="s">
        <v>74</v>
      </c>
    </row>
    <row r="13" spans="1:6" x14ac:dyDescent="0.4">
      <c r="B13" t="s">
        <v>62</v>
      </c>
      <c r="C13" t="s">
        <v>75</v>
      </c>
      <c r="D13" t="s">
        <v>76</v>
      </c>
      <c r="E13" t="s">
        <v>77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F95C6-27AF-4AEC-81DD-1F22746ED8BB}">
  <sheetPr codeName="Sheet6"/>
  <dimension ref="A2:B4"/>
  <sheetViews>
    <sheetView workbookViewId="0">
      <selection activeCell="B4" sqref="B4"/>
    </sheetView>
  </sheetViews>
  <sheetFormatPr defaultRowHeight="15.45" x14ac:dyDescent="0.4"/>
  <cols>
    <col min="1" max="1" width="2.625" bestFit="1" customWidth="1"/>
  </cols>
  <sheetData>
    <row r="2" spans="1:2" x14ac:dyDescent="0.4">
      <c r="A2" t="s">
        <v>101</v>
      </c>
      <c r="B2" t="s">
        <v>47</v>
      </c>
    </row>
    <row r="3" spans="1:2" x14ac:dyDescent="0.4">
      <c r="B3" t="s">
        <v>102</v>
      </c>
    </row>
    <row r="4" spans="1:2" x14ac:dyDescent="0.4">
      <c r="B4" t="s">
        <v>48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Sample1</vt:lpstr>
      <vt:lpstr>Sample2</vt:lpstr>
      <vt:lpstr>├設定</vt:lpstr>
      <vt:lpstr>Config</vt:lpstr>
      <vt:lpstr>SQL</vt:lpstr>
      <vt:lpstr>├その他</vt:lpstr>
      <vt:lpstr>ver</vt:lpstr>
      <vt:lpstr>コーディング規約</vt:lpstr>
      <vt:lpstr>ToDo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yutaro nakai</dc:creator>
  <cp:lastModifiedBy>yutaro nakai</cp:lastModifiedBy>
  <dcterms:created xsi:type="dcterms:W3CDTF">2022-12-15T11:29:48Z</dcterms:created>
  <dcterms:modified xsi:type="dcterms:W3CDTF">2022-12-25T06:44:45Z</dcterms:modified>
</cp:coreProperties>
</file>